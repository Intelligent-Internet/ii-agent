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Operating Model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Returns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x"/>
    <numFmt numFmtId="167" formatCode="+0.0x;-0.0x;0.0x"/>
    <numFmt numFmtId="168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1E3A5F"/>
      <sz val="24"/>
    </font>
    <font>
      <name val="Arial"/>
      <b val="1"/>
      <color rgb="00000000"/>
      <sz val="18"/>
    </font>
    <font>
      <name val="Arial"/>
      <color rgb="000000FF"/>
      <sz val="10"/>
    </font>
    <font>
      <name val="Arial"/>
      <i val="1"/>
      <color rgb="00666666"/>
      <sz val="10"/>
    </font>
    <font>
      <name val="Arial"/>
      <b val="1"/>
      <color rgb="001E3A5F"/>
      <sz val="11"/>
    </font>
    <font>
      <name val="Arial"/>
      <color rgb="00000000"/>
      <sz val="10"/>
    </font>
    <font>
      <name val="Arial"/>
      <b val="1"/>
      <color rgb="001E3A5F"/>
      <sz val="14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000000"/>
      <sz val="10"/>
    </font>
    <font>
      <b val="1"/>
      <color rgb="001E3A5F"/>
      <sz val="14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E3A5F"/>
        <bgColor rgb="001E3A5F"/>
      </patternFill>
    </fill>
    <fill>
      <patternFill patternType="solid">
        <fgColor rgb="00E8E8E8"/>
        <bgColor rgb="00E8E8E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0" fontId="9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0" fillId="4" borderId="2" pivotButton="0" quotePrefix="0" xfId="0"/>
    <xf numFmtId="164" fontId="10" fillId="4" borderId="2" pivotButton="0" quotePrefix="0" xfId="0"/>
    <xf numFmtId="166" fontId="10" fillId="4" borderId="2" pivotButton="0" quotePrefix="0" xfId="0"/>
    <xf numFmtId="165" fontId="10" fillId="4" borderId="2" pivotButton="0" quotePrefix="0" xfId="0"/>
    <xf numFmtId="0" fontId="10" fillId="0" borderId="0" pivotButton="0" quotePrefix="0" xfId="0"/>
    <xf numFmtId="1" fontId="0" fillId="0" borderId="0" pivotButton="0" quotePrefix="0" xfId="0"/>
    <xf numFmtId="168" fontId="11" fillId="0" borderId="0" pivotButton="0" quotePrefix="0" xfId="0"/>
    <xf numFmtId="165" fontId="11" fillId="0" borderId="0" pivotButton="0" quotePrefix="0" xfId="0"/>
    <xf numFmtId="166" fontId="8" fillId="3" borderId="0" applyAlignment="1" pivotButton="0" quotePrefix="0" xfId="0">
      <alignment horizontal="center" vertical="center"/>
    </xf>
    <xf numFmtId="166" fontId="8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" customWidth="1" min="3" max="3"/>
    <col width="25" customWidth="1" min="4" max="4"/>
  </cols>
  <sheetData>
    <row r="2">
      <c r="B2" s="1" t="inlineStr">
        <is>
          <t>LEVERAGED BUYOUT ANALYSIS</t>
        </is>
      </c>
    </row>
    <row r="4">
      <c r="B4" s="2" t="inlineStr">
        <is>
          <t>[Target Company]</t>
        </is>
      </c>
    </row>
    <row r="6">
      <c r="B6" s="3" t="inlineStr">
        <is>
          <t>Confidential - For Discussion Purposes Only</t>
        </is>
      </c>
    </row>
    <row r="9">
      <c r="B9" s="4" t="inlineStr">
        <is>
          <t>TRANSACTION SUMMARY</t>
        </is>
      </c>
    </row>
    <row r="11">
      <c r="B11" s="5" t="inlineStr">
        <is>
          <t>Date</t>
        </is>
      </c>
      <c r="D11" s="5" t="inlineStr">
        <is>
          <t>February 04, 2026</t>
        </is>
      </c>
    </row>
    <row r="12">
      <c r="B12" s="5" t="inlineStr">
        <is>
          <t>Transaction Type</t>
        </is>
      </c>
      <c r="D12" s="5" t="inlineStr">
        <is>
          <t>Leveraged Buyout</t>
        </is>
      </c>
    </row>
    <row r="13">
      <c r="B13" s="5" t="inlineStr">
        <is>
          <t>Sponsor</t>
        </is>
      </c>
      <c r="D13" s="6" t="inlineStr">
        <is>
          <t>[Sponsor Name]</t>
        </is>
      </c>
    </row>
    <row r="14">
      <c r="B14" s="5" t="inlineStr">
        <is>
          <t>Target</t>
        </is>
      </c>
      <c r="D14" s="6" t="inlineStr">
        <is>
          <t>[Target Company]</t>
        </is>
      </c>
    </row>
    <row r="15">
      <c r="B15" s="5" t="inlineStr">
        <is>
          <t>Entry EV</t>
        </is>
      </c>
      <c r="D15" s="5" t="inlineStr">
        <is>
          <t>$XXX.X million</t>
        </is>
      </c>
    </row>
    <row r="16">
      <c r="B16" s="5" t="inlineStr">
        <is>
          <t>Entry Multiple</t>
        </is>
      </c>
      <c r="D16" s="5" t="inlineStr">
        <is>
          <t>X.Xx LTM EBITDA</t>
        </is>
      </c>
    </row>
    <row r="17">
      <c r="B17" s="5" t="inlineStr">
        <is>
          <t>Equity Check</t>
        </is>
      </c>
      <c r="D17" s="5" t="inlineStr">
        <is>
          <t>$XX.X million</t>
        </is>
      </c>
    </row>
    <row r="18">
      <c r="B18" s="5" t="inlineStr">
        <is>
          <t>Hold Period</t>
        </is>
      </c>
      <c r="D18" s="5" t="inlineStr">
        <is>
          <t>5 years</t>
        </is>
      </c>
    </row>
  </sheetData>
  <mergeCells count="3">
    <mergeCell ref="B2:G2"/>
    <mergeCell ref="B4:G4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MODEL ASSUMPTIONS</t>
        </is>
      </c>
    </row>
    <row r="3">
      <c r="A3" s="4" t="inlineStr">
        <is>
          <t>TRANSACTION ASSUMPTIONS</t>
        </is>
      </c>
    </row>
    <row r="4">
      <c r="A4" s="8" t="inlineStr">
        <is>
          <t>Assumption</t>
        </is>
      </c>
      <c r="B4" s="8" t="inlineStr">
        <is>
          <t>Value</t>
        </is>
      </c>
      <c r="C4" s="8" t="inlineStr">
        <is>
          <t>Units</t>
        </is>
      </c>
    </row>
    <row r="5">
      <c r="A5" s="5" t="inlineStr">
        <is>
          <t>Transaction Date</t>
        </is>
      </c>
      <c r="B5" s="6" t="inlineStr">
        <is>
          <t>2025-12-31</t>
        </is>
      </c>
      <c r="C5" s="5" t="inlineStr">
        <is>
          <t>Date</t>
        </is>
      </c>
    </row>
    <row r="6">
      <c r="A6" s="5" t="inlineStr">
        <is>
          <t>LTM Revenue ($M)</t>
        </is>
      </c>
      <c r="B6" s="9" t="n">
        <v>500</v>
      </c>
      <c r="C6" s="5" t="inlineStr">
        <is>
          <t>Currency</t>
        </is>
      </c>
    </row>
    <row r="7">
      <c r="A7" s="5" t="inlineStr">
        <is>
          <t>LTM EBITDA ($M)</t>
        </is>
      </c>
      <c r="B7" s="9" t="n">
        <v>75</v>
      </c>
      <c r="C7" s="5" t="inlineStr">
        <is>
          <t>Currency</t>
        </is>
      </c>
    </row>
    <row r="8">
      <c r="A8" s="5" t="inlineStr">
        <is>
          <t>LTM EBITDA Margin</t>
        </is>
      </c>
      <c r="B8" s="10" t="n">
        <v>0.15</v>
      </c>
      <c r="C8" s="5" t="inlineStr">
        <is>
          <t>Percent</t>
        </is>
      </c>
    </row>
    <row r="9">
      <c r="A9" s="5" t="inlineStr">
        <is>
          <t>Entry EV/EBITDA Multiple</t>
        </is>
      </c>
      <c r="B9" s="11" t="n">
        <v>8</v>
      </c>
      <c r="C9" s="5" t="inlineStr">
        <is>
          <t>Multiple</t>
        </is>
      </c>
    </row>
    <row r="10">
      <c r="A10" s="5" t="inlineStr"/>
      <c r="C10" s="5" t="inlineStr"/>
    </row>
    <row r="11">
      <c r="A11" s="5" t="inlineStr">
        <is>
          <t>Transaction Fees (% of EV)</t>
        </is>
      </c>
      <c r="B11" s="10" t="n">
        <v>0.02</v>
      </c>
      <c r="C11" s="5" t="inlineStr">
        <is>
          <t>Percent</t>
        </is>
      </c>
    </row>
    <row r="12">
      <c r="A12" s="5" t="inlineStr">
        <is>
          <t>Financing Fees (% of Debt)</t>
        </is>
      </c>
      <c r="B12" s="10" t="n">
        <v>0.025</v>
      </c>
      <c r="C12" s="5" t="inlineStr">
        <is>
          <t>Percent</t>
        </is>
      </c>
    </row>
    <row r="13">
      <c r="A13" s="5" t="inlineStr">
        <is>
          <t>Minimum Cash Balance ($M)</t>
        </is>
      </c>
      <c r="B13" s="9" t="n">
        <v>10</v>
      </c>
      <c r="C13" s="5" t="inlineStr">
        <is>
          <t>Currency</t>
        </is>
      </c>
    </row>
    <row r="15">
      <c r="A15" s="4" t="inlineStr">
        <is>
          <t>CAPITAL STRUCTURE</t>
        </is>
      </c>
    </row>
    <row r="16">
      <c r="A16" s="8" t="inlineStr">
        <is>
          <t>Debt Tranche</t>
        </is>
      </c>
      <c r="B16" s="8" t="inlineStr">
        <is>
          <t>Multiple</t>
        </is>
      </c>
      <c r="C16" s="8" t="inlineStr">
        <is>
          <t>Rate</t>
        </is>
      </c>
      <c r="D16" s="8" t="inlineStr">
        <is>
          <t>Amort</t>
        </is>
      </c>
      <c r="E16" s="8" t="inlineStr">
        <is>
          <t>Term</t>
        </is>
      </c>
    </row>
    <row r="17">
      <c r="A17" s="5" t="inlineStr">
        <is>
          <t>Senior Secured (Term Loan B)</t>
        </is>
      </c>
      <c r="B17" s="11" t="n">
        <v>3.5</v>
      </c>
      <c r="C17" s="10" t="n">
        <v>0.065</v>
      </c>
      <c r="D17" s="10" t="n">
        <v>0.01</v>
      </c>
      <c r="E17" s="6" t="n">
        <v>7</v>
      </c>
    </row>
    <row r="18">
      <c r="A18" s="5" t="inlineStr">
        <is>
          <t>Second Lien</t>
        </is>
      </c>
      <c r="B18" s="11" t="n">
        <v>1</v>
      </c>
      <c r="C18" s="10" t="n">
        <v>0.095</v>
      </c>
      <c r="D18" s="10" t="n">
        <v>0</v>
      </c>
      <c r="E18" s="6" t="n">
        <v>8</v>
      </c>
    </row>
    <row r="19">
      <c r="A19" s="5" t="inlineStr">
        <is>
          <t>Subordinated / Mezzanine</t>
        </is>
      </c>
      <c r="B19" s="11" t="n">
        <v>0.5</v>
      </c>
      <c r="C19" s="10" t="n">
        <v>0.12</v>
      </c>
      <c r="D19" s="10" t="n">
        <v>0</v>
      </c>
      <c r="E19" s="6" t="n">
        <v>10</v>
      </c>
    </row>
    <row r="22">
      <c r="A22" s="4" t="inlineStr">
        <is>
          <t>OPERATING ASSUMPTIONS</t>
        </is>
      </c>
    </row>
    <row r="23">
      <c r="A23" s="8" t="inlineStr">
        <is>
          <t>Driver</t>
        </is>
      </c>
      <c r="B23" s="8" t="inlineStr">
        <is>
          <t>Year 1</t>
        </is>
      </c>
      <c r="C23" s="8" t="inlineStr">
        <is>
          <t>Year 2</t>
        </is>
      </c>
      <c r="D23" s="8" t="inlineStr">
        <is>
          <t>Year 3</t>
        </is>
      </c>
      <c r="E23" s="8" t="inlineStr">
        <is>
          <t>Year 4</t>
        </is>
      </c>
      <c r="F23" s="8" t="inlineStr">
        <is>
          <t>Year 5</t>
        </is>
      </c>
    </row>
    <row r="24">
      <c r="A24" s="5" t="inlineStr">
        <is>
          <t>Revenue Growth</t>
        </is>
      </c>
      <c r="B24" s="10" t="n">
        <v>0.08</v>
      </c>
      <c r="C24" s="10" t="n">
        <v>0.07000000000000001</v>
      </c>
      <c r="D24" s="10" t="n">
        <v>0.06</v>
      </c>
      <c r="E24" s="10" t="n">
        <v>0.05</v>
      </c>
      <c r="F24" s="10" t="n">
        <v>0.05</v>
      </c>
    </row>
    <row r="25">
      <c r="A25" s="5" t="inlineStr">
        <is>
          <t>EBITDA Margin</t>
        </is>
      </c>
      <c r="B25" s="10" t="n">
        <v>0.16</v>
      </c>
      <c r="C25" s="10" t="n">
        <v>0.17</v>
      </c>
      <c r="D25" s="10" t="n">
        <v>0.18</v>
      </c>
      <c r="E25" s="10" t="n">
        <v>0.18</v>
      </c>
      <c r="F25" s="10" t="n">
        <v>0.19</v>
      </c>
    </row>
    <row r="26">
      <c r="A26" s="5" t="inlineStr">
        <is>
          <t>D&amp;A % Revenue</t>
        </is>
      </c>
      <c r="B26" s="10" t="n">
        <v>0.03</v>
      </c>
      <c r="C26" s="10" t="n">
        <v>0.03</v>
      </c>
      <c r="D26" s="10" t="n">
        <v>0.03</v>
      </c>
      <c r="E26" s="10" t="n">
        <v>0.03</v>
      </c>
      <c r="F26" s="10" t="n">
        <v>0.03</v>
      </c>
    </row>
    <row r="27">
      <c r="A27" s="5" t="inlineStr">
        <is>
          <t>CapEx % Revenue</t>
        </is>
      </c>
      <c r="B27" s="10" t="n">
        <v>0.04</v>
      </c>
      <c r="C27" s="10" t="n">
        <v>0.04</v>
      </c>
      <c r="D27" s="10" t="n">
        <v>0.03</v>
      </c>
      <c r="E27" s="10" t="n">
        <v>0.03</v>
      </c>
      <c r="F27" s="10" t="n">
        <v>0.03</v>
      </c>
    </row>
    <row r="28">
      <c r="A28" s="5" t="inlineStr">
        <is>
          <t>NWC % Revenue</t>
        </is>
      </c>
      <c r="B28" s="10" t="n">
        <v>0.1</v>
      </c>
      <c r="C28" s="10" t="n">
        <v>0.1</v>
      </c>
      <c r="D28" s="10" t="n">
        <v>0.1</v>
      </c>
      <c r="E28" s="10" t="n">
        <v>0.1</v>
      </c>
      <c r="F28" s="10" t="n">
        <v>0.1</v>
      </c>
    </row>
    <row r="29">
      <c r="A29" s="5" t="inlineStr">
        <is>
          <t>Tax Rate</t>
        </is>
      </c>
      <c r="B29" s="10" t="n">
        <v>0.25</v>
      </c>
      <c r="C29" s="10" t="n">
        <v>0.25</v>
      </c>
      <c r="D29" s="10" t="n">
        <v>0.25</v>
      </c>
      <c r="E29" s="10" t="n">
        <v>0.25</v>
      </c>
      <c r="F29" s="10" t="n">
        <v>0.25</v>
      </c>
    </row>
    <row r="32">
      <c r="A32" s="4" t="inlineStr">
        <is>
          <t>EXIT ASSUMPTIONS</t>
        </is>
      </c>
    </row>
    <row r="33">
      <c r="A33" s="5" t="inlineStr">
        <is>
          <t>Exit Year</t>
        </is>
      </c>
      <c r="B33" s="6" t="n">
        <v>5</v>
      </c>
      <c r="C33" s="5" t="inlineStr">
        <is>
          <t>Year</t>
        </is>
      </c>
    </row>
    <row r="34">
      <c r="A34" s="5" t="inlineStr">
        <is>
          <t>Exit EV/EBITDA Multiple</t>
        </is>
      </c>
      <c r="B34" s="11" t="n">
        <v>8</v>
      </c>
      <c r="C34" s="5" t="inlineStr">
        <is>
          <t>Multiple</t>
        </is>
      </c>
    </row>
    <row r="35">
      <c r="A35" s="5" t="inlineStr">
        <is>
          <t>Exit Multiple vs Entry</t>
        </is>
      </c>
      <c r="B35" s="12" t="n">
        <v>0</v>
      </c>
      <c r="C35" s="5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</cols>
  <sheetData>
    <row r="1">
      <c r="A1" s="7" t="inlineStr">
        <is>
          <t>SOURCES AND USES OF FUNDS</t>
        </is>
      </c>
    </row>
    <row r="2">
      <c r="A2" s="13" t="inlineStr">
        <is>
          <t>($ in millions)</t>
        </is>
      </c>
    </row>
    <row r="4">
      <c r="A4" s="4" t="inlineStr">
        <is>
          <t>SOURCES OF FUNDS</t>
        </is>
      </c>
    </row>
    <row r="5">
      <c r="A5" s="8" t="inlineStr">
        <is>
          <t>Source</t>
        </is>
      </c>
      <c r="B5" s="8" t="inlineStr">
        <is>
          <t>Amount</t>
        </is>
      </c>
      <c r="C5" s="8" t="inlineStr">
        <is>
          <t>Multiple</t>
        </is>
      </c>
      <c r="D5" s="8" t="inlineStr">
        <is>
          <t>% of Total</t>
        </is>
      </c>
    </row>
    <row r="6">
      <c r="A6" s="5" t="inlineStr">
        <is>
          <t>Senior Secured Term Loan B</t>
        </is>
      </c>
      <c r="B6" s="14">
        <f>Assumptions!B19*Assumptions!B7</f>
        <v/>
      </c>
      <c r="C6" s="15">
        <f>B6/Assumptions!$B$7</f>
        <v/>
      </c>
      <c r="D6" s="16">
        <f>B6/$B$15</f>
        <v/>
      </c>
    </row>
    <row r="7">
      <c r="A7" s="5" t="inlineStr">
        <is>
          <t>Second Lien Term Loan</t>
        </is>
      </c>
      <c r="B7" s="14">
        <f>Assumptions!B20*Assumptions!B7</f>
        <v/>
      </c>
      <c r="C7" s="15">
        <f>B7/Assumptions!$B$7</f>
        <v/>
      </c>
      <c r="D7" s="16">
        <f>B7/$B$15</f>
        <v/>
      </c>
    </row>
    <row r="8">
      <c r="A8" s="5" t="inlineStr">
        <is>
          <t>Subordinated Debt</t>
        </is>
      </c>
      <c r="B8" s="14">
        <f>Assumptions!B21*Assumptions!B7</f>
        <v/>
      </c>
      <c r="C8" s="15">
        <f>B8/Assumptions!$B$7</f>
        <v/>
      </c>
      <c r="D8" s="16">
        <f>B8/$B$15</f>
        <v/>
      </c>
    </row>
    <row r="9">
      <c r="A9" s="5" t="inlineStr">
        <is>
          <t>Rollover Equity</t>
        </is>
      </c>
      <c r="B9" s="9" t="n">
        <v>0</v>
      </c>
      <c r="C9" s="15">
        <f>B9/Assumptions!$B$7</f>
        <v/>
      </c>
      <c r="D9" s="16">
        <f>B9/$B$15</f>
        <v/>
      </c>
    </row>
    <row r="10">
      <c r="A10" s="5" t="inlineStr">
        <is>
          <t>Sponsor Equity</t>
        </is>
      </c>
      <c r="B10" s="14">
        <f>B15-SUM(B6:B9)</f>
        <v/>
      </c>
      <c r="C10" s="15">
        <f>B10/Assumptions!$B$7</f>
        <v/>
      </c>
      <c r="D10" s="16">
        <f>B10/$B$15</f>
        <v/>
      </c>
    </row>
    <row r="11">
      <c r="A11" s="17" t="inlineStr">
        <is>
          <t>Total Sources</t>
        </is>
      </c>
      <c r="B11" s="18">
        <f>SUM(B6:B10)</f>
        <v/>
      </c>
      <c r="C11" s="19">
        <f>B11/Assumptions!$B$7</f>
        <v/>
      </c>
      <c r="D11" s="20">
        <f>1</f>
        <v/>
      </c>
    </row>
    <row r="13">
      <c r="A13" s="4" t="inlineStr">
        <is>
          <t>USES OF FUNDS</t>
        </is>
      </c>
    </row>
    <row r="14">
      <c r="A14" s="8" t="inlineStr">
        <is>
          <t>Use</t>
        </is>
      </c>
      <c r="B14" s="8" t="inlineStr">
        <is>
          <t>Amount</t>
        </is>
      </c>
      <c r="C14" s="8" t="inlineStr">
        <is>
          <t>Multiple</t>
        </is>
      </c>
      <c r="D14" s="8" t="inlineStr">
        <is>
          <t>% of Total</t>
        </is>
      </c>
    </row>
    <row r="15">
      <c r="A15" s="5" t="inlineStr">
        <is>
          <t>Purchase Enterprise Value</t>
        </is>
      </c>
      <c r="B15" s="14">
        <f>Assumptions!B9*Assumptions!B7</f>
        <v/>
      </c>
      <c r="C15" s="15">
        <f>B15/Assumptions!$B$7</f>
        <v/>
      </c>
      <c r="D15" s="16">
        <f>B15/$B$15</f>
        <v/>
      </c>
    </row>
    <row r="16">
      <c r="A16" s="5" t="inlineStr">
        <is>
          <t>Refinance Existing Debt</t>
        </is>
      </c>
      <c r="B16" s="9" t="n">
        <v>0</v>
      </c>
      <c r="C16" s="15">
        <f>B16/Assumptions!$B$7</f>
        <v/>
      </c>
      <c r="D16" s="16">
        <f>B16/$B$15</f>
        <v/>
      </c>
    </row>
    <row r="17">
      <c r="A17" s="5" t="inlineStr">
        <is>
          <t>Transaction Fees</t>
        </is>
      </c>
      <c r="B17" s="14">
        <f>Assumptions!B11*B15</f>
        <v/>
      </c>
      <c r="C17" s="15">
        <f>B17/Assumptions!$B$7</f>
        <v/>
      </c>
      <c r="D17" s="16">
        <f>B17/$B$15</f>
        <v/>
      </c>
    </row>
    <row r="18">
      <c r="A18" s="5" t="inlineStr">
        <is>
          <t>Financing Fees</t>
        </is>
      </c>
      <c r="B18" s="14">
        <f>Assumptions!B12*(B6+B7+B8)</f>
        <v/>
      </c>
      <c r="C18" s="15">
        <f>B18/Assumptions!$B$7</f>
        <v/>
      </c>
      <c r="D18" s="16">
        <f>B18/$B$15</f>
        <v/>
      </c>
    </row>
    <row r="19">
      <c r="A19" s="5" t="inlineStr">
        <is>
          <t>Cash to Balance Sheet</t>
        </is>
      </c>
      <c r="B19" s="14">
        <f>Assumptions!B13</f>
        <v/>
      </c>
      <c r="C19" s="15">
        <f>B19/Assumptions!$B$7</f>
        <v/>
      </c>
      <c r="D19" s="16">
        <f>B19/$B$15</f>
        <v/>
      </c>
    </row>
    <row r="20">
      <c r="A20" s="17" t="inlineStr">
        <is>
          <t>Total Uses</t>
        </is>
      </c>
      <c r="B20" s="18">
        <f>SUM(B15:B19)</f>
        <v/>
      </c>
      <c r="C20" s="19">
        <f>B20/Assumptions!$B$7</f>
        <v/>
      </c>
      <c r="D20" s="20">
        <f>1</f>
        <v/>
      </c>
    </row>
    <row r="22">
      <c r="A22" s="5" t="inlineStr">
        <is>
          <t>Sources - Uses (Check)</t>
        </is>
      </c>
      <c r="B22" s="14">
        <f>B15-B20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OPERATING MODEL</t>
        </is>
      </c>
    </row>
    <row r="2">
      <c r="A2" s="13" t="inlineStr">
        <is>
          <t>($ in millions, fiscal year ending December 31)</t>
        </is>
      </c>
    </row>
    <row r="4">
      <c r="A4" s="8" t="inlineStr"/>
      <c r="B4" s="8" t="inlineStr">
        <is>
          <t>LTM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A5" s="4" t="inlineStr">
        <is>
          <t>INCOME STATEMENT</t>
        </is>
      </c>
    </row>
    <row r="6">
      <c r="A6" s="21" t="inlineStr">
        <is>
          <t>Revenue</t>
        </is>
      </c>
      <c r="B6" s="14">
        <f>Assumptions!B6</f>
        <v/>
      </c>
      <c r="C6" s="14">
        <f>B6*(1+Assumptions!C28)</f>
        <v/>
      </c>
      <c r="D6" s="14">
        <f>C6*(1+Assumptions!D28)</f>
        <v/>
      </c>
      <c r="E6" s="14">
        <f>D6*(1+Assumptions!E28)</f>
        <v/>
      </c>
      <c r="F6" s="14">
        <f>E6*(1+Assumptions!F28)</f>
        <v/>
      </c>
      <c r="G6" s="14">
        <f>F6*(1+Assumptions!G28)</f>
        <v/>
      </c>
    </row>
    <row r="7">
      <c r="A7" s="5" t="inlineStr">
        <is>
          <t>% Growth</t>
        </is>
      </c>
      <c r="C7" s="16">
        <f>(C6-B6)/B6</f>
        <v/>
      </c>
      <c r="D7" s="16">
        <f>(D6-C6)/C6</f>
        <v/>
      </c>
      <c r="E7" s="16">
        <f>(E6-D6)/D6</f>
        <v/>
      </c>
      <c r="F7" s="16">
        <f>(F6-E6)/E6</f>
        <v/>
      </c>
      <c r="G7" s="16">
        <f>(G6-F6)/F6</f>
        <v/>
      </c>
    </row>
    <row r="8">
      <c r="A8" s="5" t="inlineStr"/>
    </row>
    <row r="9">
      <c r="A9" s="21" t="inlineStr">
        <is>
          <t>EBITDA</t>
        </is>
      </c>
      <c r="B9" s="14">
        <f>Assumptions!B7</f>
        <v/>
      </c>
      <c r="C9" s="14">
        <f>C6*Assumptions!C29</f>
        <v/>
      </c>
      <c r="D9" s="14">
        <f>D6*Assumptions!D29</f>
        <v/>
      </c>
      <c r="E9" s="14">
        <f>E6*Assumptions!E29</f>
        <v/>
      </c>
      <c r="F9" s="14">
        <f>F6*Assumptions!F29</f>
        <v/>
      </c>
      <c r="G9" s="14">
        <f>G6*Assumptions!G29</f>
        <v/>
      </c>
    </row>
    <row r="10">
      <c r="A10" s="5" t="inlineStr">
        <is>
          <t>% Margin</t>
        </is>
      </c>
      <c r="B10" s="16">
        <f>B9/B6</f>
        <v/>
      </c>
      <c r="C10" s="16">
        <f>C9/C6</f>
        <v/>
      </c>
      <c r="D10" s="16">
        <f>D9/D6</f>
        <v/>
      </c>
      <c r="E10" s="16">
        <f>E9/E6</f>
        <v/>
      </c>
      <c r="F10" s="16">
        <f>F9/F6</f>
        <v/>
      </c>
      <c r="G10" s="16">
        <f>G9/G6</f>
        <v/>
      </c>
    </row>
    <row r="11">
      <c r="A11" s="5" t="inlineStr"/>
    </row>
    <row r="12">
      <c r="A12" s="5" t="inlineStr">
        <is>
          <t>D&amp;A</t>
        </is>
      </c>
      <c r="B12" s="14">
        <f>B6*Assumptions!B30</f>
        <v/>
      </c>
      <c r="C12" s="14">
        <f>C6*Assumptions!C30</f>
        <v/>
      </c>
      <c r="D12" s="14">
        <f>D6*Assumptions!D30</f>
        <v/>
      </c>
      <c r="E12" s="14">
        <f>E6*Assumptions!E30</f>
        <v/>
      </c>
      <c r="F12" s="14">
        <f>F6*Assumptions!F30</f>
        <v/>
      </c>
      <c r="G12" s="14">
        <f>G6*Assumptions!G30</f>
        <v/>
      </c>
    </row>
    <row r="13">
      <c r="A13" s="21" t="inlineStr">
        <is>
          <t>EBIT</t>
        </is>
      </c>
      <c r="B13" s="14">
        <f>B9-B12</f>
        <v/>
      </c>
      <c r="C13" s="14">
        <f>C9-C12</f>
        <v/>
      </c>
      <c r="D13" s="14">
        <f>D9-D12</f>
        <v/>
      </c>
      <c r="E13" s="14">
        <f>E9-E12</f>
        <v/>
      </c>
      <c r="F13" s="14">
        <f>F9-F12</f>
        <v/>
      </c>
      <c r="G13" s="14">
        <f>G9-G12</f>
        <v/>
      </c>
    </row>
    <row r="14">
      <c r="A14" s="5" t="inlineStr">
        <is>
          <t>% Margin</t>
        </is>
      </c>
      <c r="B14" s="16">
        <f>B13/B6</f>
        <v/>
      </c>
      <c r="C14" s="16">
        <f>C13/C6</f>
        <v/>
      </c>
      <c r="D14" s="16">
        <f>D13/D6</f>
        <v/>
      </c>
      <c r="E14" s="16">
        <f>E13/E6</f>
        <v/>
      </c>
      <c r="F14" s="16">
        <f>F13/F6</f>
        <v/>
      </c>
      <c r="G14" s="16">
        <f>G13/G6</f>
        <v/>
      </c>
    </row>
    <row r="15">
      <c r="A15" s="5" t="inlineStr"/>
    </row>
    <row r="16">
      <c r="A16" s="5" t="inlineStr">
        <is>
          <t>Interest Expense</t>
        </is>
      </c>
      <c r="B16" s="14" t="n"/>
      <c r="C16" s="14">
        <f>'Debt Schedule'!C25</f>
        <v/>
      </c>
      <c r="D16" s="14">
        <f>'Debt Schedule'!D25</f>
        <v/>
      </c>
      <c r="E16" s="14">
        <f>'Debt Schedule'!E25</f>
        <v/>
      </c>
      <c r="F16" s="14">
        <f>'Debt Schedule'!F25</f>
        <v/>
      </c>
      <c r="G16" s="14">
        <f>'Debt Schedule'!G25</f>
        <v/>
      </c>
    </row>
    <row r="17">
      <c r="A17" s="5" t="inlineStr">
        <is>
          <t>EBT</t>
        </is>
      </c>
      <c r="B17" s="14">
        <f>B13</f>
        <v/>
      </c>
      <c r="C17" s="14">
        <f>C13-C16</f>
        <v/>
      </c>
      <c r="D17" s="14">
        <f>D13-D16</f>
        <v/>
      </c>
      <c r="E17" s="14">
        <f>E13-E16</f>
        <v/>
      </c>
      <c r="F17" s="14">
        <f>F13-F16</f>
        <v/>
      </c>
      <c r="G17" s="14">
        <f>G13-G16</f>
        <v/>
      </c>
    </row>
    <row r="18">
      <c r="A18" s="5" t="inlineStr">
        <is>
          <t>Taxes</t>
        </is>
      </c>
      <c r="B18" s="14">
        <f>B17*0.25</f>
        <v/>
      </c>
      <c r="C18" s="14">
        <f>MAX(0,C17)*Assumptions!C33</f>
        <v/>
      </c>
      <c r="D18" s="14">
        <f>MAX(0,D17)*Assumptions!D33</f>
        <v/>
      </c>
      <c r="E18" s="14">
        <f>MAX(0,E17)*Assumptions!E33</f>
        <v/>
      </c>
      <c r="F18" s="14">
        <f>MAX(0,F17)*Assumptions!F33</f>
        <v/>
      </c>
      <c r="G18" s="14">
        <f>MAX(0,G17)*Assumptions!G33</f>
        <v/>
      </c>
    </row>
    <row r="19">
      <c r="A19" s="17" t="inlineStr">
        <is>
          <t>Net Income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</row>
    <row r="21">
      <c r="A21" s="4" t="inlineStr">
        <is>
          <t>FREE CASH FLOW</t>
        </is>
      </c>
    </row>
    <row r="22">
      <c r="A22" s="5" t="inlineStr">
        <is>
          <t>EBITDA</t>
        </is>
      </c>
      <c r="B22" s="14" t="n"/>
      <c r="C22" s="14">
        <f>C9</f>
        <v/>
      </c>
      <c r="D22" s="14">
        <f>D9</f>
        <v/>
      </c>
      <c r="E22" s="14">
        <f>E9</f>
        <v/>
      </c>
      <c r="F22" s="14">
        <f>F9</f>
        <v/>
      </c>
      <c r="G22" s="14">
        <f>G9</f>
        <v/>
      </c>
    </row>
    <row r="23">
      <c r="A23" s="5" t="inlineStr">
        <is>
          <t>(-) Cash Taxes</t>
        </is>
      </c>
      <c r="B23" s="14" t="n"/>
      <c r="C23" s="14">
        <f>-C18</f>
        <v/>
      </c>
      <c r="D23" s="14">
        <f>-D18</f>
        <v/>
      </c>
      <c r="E23" s="14">
        <f>-E18</f>
        <v/>
      </c>
      <c r="F23" s="14">
        <f>-F18</f>
        <v/>
      </c>
      <c r="G23" s="14">
        <f>-G18</f>
        <v/>
      </c>
    </row>
    <row r="24">
      <c r="A24" s="5" t="inlineStr">
        <is>
          <t>(-) CapEx</t>
        </is>
      </c>
      <c r="B24" s="14" t="n"/>
      <c r="C24" s="14">
        <f>-C6*Assumptions!C31</f>
        <v/>
      </c>
      <c r="D24" s="14">
        <f>-D6*Assumptions!D31</f>
        <v/>
      </c>
      <c r="E24" s="14">
        <f>-E6*Assumptions!E31</f>
        <v/>
      </c>
      <c r="F24" s="14">
        <f>-F6*Assumptions!F31</f>
        <v/>
      </c>
      <c r="G24" s="14">
        <f>-G6*Assumptions!G31</f>
        <v/>
      </c>
    </row>
    <row r="25">
      <c r="A25" s="5" t="inlineStr">
        <is>
          <t>(+/-) Change in NWC</t>
        </is>
      </c>
      <c r="B25" s="14" t="n"/>
      <c r="C25" s="14">
        <f>-(C6*Assumptions!C32-B6*Assumptions!B32)</f>
        <v/>
      </c>
      <c r="D25" s="14">
        <f>-(D6*Assumptions!D32-C6*Assumptions!C32)</f>
        <v/>
      </c>
      <c r="E25" s="14">
        <f>-(E6*Assumptions!E32-D6*Assumptions!D32)</f>
        <v/>
      </c>
      <c r="F25" s="14">
        <f>-(F6*Assumptions!F32-E6*Assumptions!E32)</f>
        <v/>
      </c>
      <c r="G25" s="14">
        <f>-(G6*Assumptions!G32-F6*Assumptions!F32)</f>
        <v/>
      </c>
    </row>
    <row r="26">
      <c r="A26" s="21" t="inlineStr">
        <is>
          <t>Unlevered Free Cash Flow</t>
        </is>
      </c>
      <c r="B26" s="14" t="n"/>
      <c r="C26" s="14">
        <f>SUM(C22:C25)</f>
        <v/>
      </c>
      <c r="D26" s="14">
        <f>SUM(D22:D25)</f>
        <v/>
      </c>
      <c r="E26" s="14">
        <f>SUM(E22:E25)</f>
        <v/>
      </c>
      <c r="F26" s="14">
        <f>SUM(F22:F25)</f>
        <v/>
      </c>
      <c r="G26" s="14">
        <f>SUM(G22:G25)</f>
        <v/>
      </c>
    </row>
    <row r="27">
      <c r="A27" s="5" t="inlineStr"/>
    </row>
    <row r="28">
      <c r="A28" s="5" t="inlineStr">
        <is>
          <t>(-) Cash Interest</t>
        </is>
      </c>
      <c r="B28" s="14" t="n"/>
      <c r="C28" s="14">
        <f>-C16</f>
        <v/>
      </c>
      <c r="D28" s="14">
        <f>-D16</f>
        <v/>
      </c>
      <c r="E28" s="14">
        <f>-E16</f>
        <v/>
      </c>
      <c r="F28" s="14">
        <f>-F16</f>
        <v/>
      </c>
      <c r="G28" s="14">
        <f>-G16</f>
        <v/>
      </c>
    </row>
    <row r="29">
      <c r="A29" s="5" t="inlineStr">
        <is>
          <t>(-) Mandatory Amortization</t>
        </is>
      </c>
      <c r="B29" s="14" t="n"/>
      <c r="C29" s="14">
        <f>'Debt Schedule'!C19</f>
        <v/>
      </c>
      <c r="D29" s="14">
        <f>'Debt Schedule'!D19</f>
        <v/>
      </c>
      <c r="E29" s="14">
        <f>'Debt Schedule'!E19</f>
        <v/>
      </c>
      <c r="F29" s="14">
        <f>'Debt Schedule'!F19</f>
        <v/>
      </c>
      <c r="G29" s="14">
        <f>'Debt Schedule'!G19</f>
        <v/>
      </c>
    </row>
    <row r="30">
      <c r="A30" s="17" t="inlineStr">
        <is>
          <t>Free Cash Flow for Debt Paydown</t>
        </is>
      </c>
      <c r="B30" s="18" t="n"/>
      <c r="C30" s="18">
        <f>C26+C28+C29</f>
        <v/>
      </c>
      <c r="D30" s="18">
        <f>D26+D28+D29</f>
        <v/>
      </c>
      <c r="E30" s="18">
        <f>E26+E28+E29</f>
        <v/>
      </c>
      <c r="F30" s="18">
        <f>F26+F28+F29</f>
        <v/>
      </c>
      <c r="G30" s="18">
        <f>G26+G28+G29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DEBT SCHEDULE</t>
        </is>
      </c>
    </row>
    <row r="2">
      <c r="A2" s="13" t="inlineStr">
        <is>
          <t>($ in millions)</t>
        </is>
      </c>
    </row>
    <row r="4">
      <c r="A4" s="8" t="inlineStr"/>
      <c r="B4" s="8" t="inlineStr">
        <is>
          <t>Entry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A5" s="4" t="inlineStr">
        <is>
          <t>SENIOR SECURED TERM LOAN B</t>
        </is>
      </c>
    </row>
    <row r="6">
      <c r="A6" s="5" t="inlineStr">
        <is>
          <t>Beginning Balance</t>
        </is>
      </c>
      <c r="B6" s="14" t="n">
        <v>0</v>
      </c>
      <c r="C6" s="14">
        <f>B10</f>
        <v/>
      </c>
      <c r="D6" s="14">
        <f>C10</f>
        <v/>
      </c>
      <c r="E6" s="14">
        <f>D10</f>
        <v/>
      </c>
      <c r="F6" s="14">
        <f>E10</f>
        <v/>
      </c>
      <c r="G6" s="14">
        <f>F10</f>
        <v/>
      </c>
    </row>
    <row r="7">
      <c r="A7" s="5" t="inlineStr">
        <is>
          <t>(+) Draws</t>
        </is>
      </c>
      <c r="B7" s="14">
        <f>'Sources &amp; Uses'!B6</f>
        <v/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</row>
    <row r="8">
      <c r="A8" s="5" t="inlineStr">
        <is>
          <t>(-) Mandatory Amortization</t>
        </is>
      </c>
      <c r="B8" s="14" t="n">
        <v>0</v>
      </c>
      <c r="C8" s="14">
        <f>-C6*Assumptions!D19</f>
        <v/>
      </c>
      <c r="D8" s="14">
        <f>-D6*Assumptions!D19</f>
        <v/>
      </c>
      <c r="E8" s="14">
        <f>-E6*Assumptions!D19</f>
        <v/>
      </c>
      <c r="F8" s="14">
        <f>-F6*Assumptions!D19</f>
        <v/>
      </c>
      <c r="G8" s="14">
        <f>-G6*Assumptions!D19</f>
        <v/>
      </c>
    </row>
    <row r="9">
      <c r="A9" s="5" t="inlineStr">
        <is>
          <t>(-) Optional Prepayment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</row>
    <row r="10">
      <c r="A10" s="21" t="inlineStr">
        <is>
          <t>Ending Balance</t>
        </is>
      </c>
      <c r="B10" s="14">
        <f>MAX(0,B6+B7+B8+B9)</f>
        <v/>
      </c>
      <c r="C10" s="14">
        <f>MAX(0,C6+C7+C8+C9)</f>
        <v/>
      </c>
      <c r="D10" s="14">
        <f>MAX(0,D6+D7+D8+D9)</f>
        <v/>
      </c>
      <c r="E10" s="14">
        <f>MAX(0,E6+E7+E8+E9)</f>
        <v/>
      </c>
      <c r="F10" s="14">
        <f>MAX(0,F6+F7+F8+F9)</f>
        <v/>
      </c>
      <c r="G10" s="14">
        <f>MAX(0,G6+G7+G8+G9)</f>
        <v/>
      </c>
    </row>
    <row r="11">
      <c r="A11" s="5" t="inlineStr"/>
    </row>
    <row r="12">
      <c r="A12" s="5" t="inlineStr">
        <is>
          <t>Interest Rate</t>
        </is>
      </c>
      <c r="B12" s="16">
        <f>Assumptions!C19</f>
        <v/>
      </c>
      <c r="C12" s="16">
        <f>Assumptions!C19</f>
        <v/>
      </c>
      <c r="D12" s="16">
        <f>Assumptions!C19</f>
        <v/>
      </c>
      <c r="E12" s="16">
        <f>Assumptions!C19</f>
        <v/>
      </c>
      <c r="F12" s="16">
        <f>Assumptions!C19</f>
        <v/>
      </c>
      <c r="G12" s="16">
        <f>Assumptions!C19</f>
        <v/>
      </c>
    </row>
    <row r="13">
      <c r="A13" s="5" t="inlineStr">
        <is>
          <t>Interest Expense</t>
        </is>
      </c>
      <c r="B13" s="14">
        <f>B10*B12</f>
        <v/>
      </c>
      <c r="C13" s="14">
        <f>(B10+C10)/2*C12</f>
        <v/>
      </c>
      <c r="D13" s="14">
        <f>(C10+D10)/2*D12</f>
        <v/>
      </c>
      <c r="E13" s="14">
        <f>(D10+E10)/2*E12</f>
        <v/>
      </c>
      <c r="F13" s="14">
        <f>(E10+F10)/2*F12</f>
        <v/>
      </c>
      <c r="G13" s="14">
        <f>(F10+G10)/2*G12</f>
        <v/>
      </c>
    </row>
    <row r="15">
      <c r="A15" s="4" t="inlineStr">
        <is>
          <t>SECOND LIEN TERM LOAN</t>
        </is>
      </c>
    </row>
    <row r="16">
      <c r="A16" s="5" t="inlineStr">
        <is>
          <t>Beginning Balance</t>
        </is>
      </c>
      <c r="B16" s="14" t="n">
        <v>0</v>
      </c>
      <c r="C16" s="14">
        <f>B19</f>
        <v/>
      </c>
      <c r="D16" s="14">
        <f>C19</f>
        <v/>
      </c>
      <c r="E16" s="14">
        <f>D19</f>
        <v/>
      </c>
      <c r="F16" s="14">
        <f>E19</f>
        <v/>
      </c>
      <c r="G16" s="14">
        <f>F19</f>
        <v/>
      </c>
    </row>
    <row r="17">
      <c r="A17" s="5" t="inlineStr">
        <is>
          <t>(+) Draws</t>
        </is>
      </c>
      <c r="B17" s="14">
        <f>'Sources &amp; Uses'!B7</f>
        <v/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</row>
    <row r="18">
      <c r="A18" s="5" t="inlineStr">
        <is>
          <t>(-) Amortization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</row>
    <row r="19">
      <c r="A19" s="21" t="inlineStr">
        <is>
          <t>Ending Balance</t>
        </is>
      </c>
      <c r="B19" s="14">
        <f>MAX(0,B16+B17+B18)</f>
        <v/>
      </c>
      <c r="C19" s="14">
        <f>MAX(0,C16+C17+C18)</f>
        <v/>
      </c>
      <c r="D19" s="14">
        <f>MAX(0,D16+D17+D18)</f>
        <v/>
      </c>
      <c r="E19" s="14">
        <f>MAX(0,E16+E17+E18)</f>
        <v/>
      </c>
      <c r="F19" s="14">
        <f>MAX(0,F16+F17+F18)</f>
        <v/>
      </c>
      <c r="G19" s="14">
        <f>MAX(0,G16+G17+G18)</f>
        <v/>
      </c>
    </row>
    <row r="20">
      <c r="A20" s="5" t="inlineStr"/>
    </row>
    <row r="21">
      <c r="A21" s="5" t="inlineStr">
        <is>
          <t>Interest Rate</t>
        </is>
      </c>
      <c r="B21" s="16">
        <f>Assumptions!C20</f>
        <v/>
      </c>
      <c r="C21" s="16">
        <f>Assumptions!C20</f>
        <v/>
      </c>
      <c r="D21" s="16">
        <f>Assumptions!C20</f>
        <v/>
      </c>
      <c r="E21" s="16">
        <f>Assumptions!C20</f>
        <v/>
      </c>
      <c r="F21" s="16">
        <f>Assumptions!C20</f>
        <v/>
      </c>
      <c r="G21" s="16">
        <f>Assumptions!C20</f>
        <v/>
      </c>
    </row>
    <row r="22">
      <c r="A22" s="5" t="inlineStr">
        <is>
          <t>Interest Expense</t>
        </is>
      </c>
      <c r="B22" s="14">
        <f>B20*B21</f>
        <v/>
      </c>
      <c r="C22" s="14">
        <f>(B20+C20)/2*C21</f>
        <v/>
      </c>
      <c r="D22" s="14">
        <f>(C20+D20)/2*D21</f>
        <v/>
      </c>
      <c r="E22" s="14">
        <f>(D20+E20)/2*E21</f>
        <v/>
      </c>
      <c r="F22" s="14">
        <f>(E20+F20)/2*F21</f>
        <v/>
      </c>
      <c r="G22" s="14">
        <f>(F20+G20)/2*G21</f>
        <v/>
      </c>
    </row>
    <row r="24">
      <c r="A24" s="4" t="inlineStr">
        <is>
          <t>TOTAL DEBT SUMMARY</t>
        </is>
      </c>
    </row>
    <row r="25">
      <c r="A25" s="21" t="inlineStr">
        <is>
          <t>Total Debt</t>
        </is>
      </c>
      <c r="B25" s="14">
        <f>B10+B19</f>
        <v/>
      </c>
      <c r="C25" s="14">
        <f>C10+C19</f>
        <v/>
      </c>
      <c r="D25" s="14">
        <f>D10+D19</f>
        <v/>
      </c>
      <c r="E25" s="14">
        <f>E10+E19</f>
        <v/>
      </c>
      <c r="F25" s="14">
        <f>F10+F19</f>
        <v/>
      </c>
      <c r="G25" s="14">
        <f>G10+G19</f>
        <v/>
      </c>
    </row>
    <row r="26">
      <c r="A26" s="17" t="inlineStr">
        <is>
          <t>Total Interest Expense</t>
        </is>
      </c>
      <c r="B26" s="18">
        <f>B13+B22</f>
        <v/>
      </c>
      <c r="C26" s="18">
        <f>C13+C22</f>
        <v/>
      </c>
      <c r="D26" s="18">
        <f>D13+D22</f>
        <v/>
      </c>
      <c r="E26" s="18">
        <f>E13+E22</f>
        <v/>
      </c>
      <c r="F26" s="18">
        <f>F13+F22</f>
        <v/>
      </c>
      <c r="G26" s="18">
        <f>G13+G22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LBO RETURNS ANALYSIS</t>
        </is>
      </c>
    </row>
    <row r="2">
      <c r="A2" s="13" t="inlineStr">
        <is>
          <t>($ in millions)</t>
        </is>
      </c>
    </row>
    <row r="4">
      <c r="A4" s="4" t="inlineStr">
        <is>
          <t>EXIT ANALYSIS</t>
        </is>
      </c>
    </row>
    <row r="5">
      <c r="A5" s="5" t="inlineStr">
        <is>
          <t>Exit Year</t>
        </is>
      </c>
      <c r="B5" s="22">
        <f>Assumptions!B35</f>
        <v/>
      </c>
    </row>
    <row r="6">
      <c r="A6" s="5" t="inlineStr">
        <is>
          <t>Exit EBITDA</t>
        </is>
      </c>
      <c r="B6" s="14">
        <f>'Operating Model'!G9</f>
        <v/>
      </c>
    </row>
    <row r="7">
      <c r="A7" s="5" t="inlineStr">
        <is>
          <t>Exit Multiple</t>
        </is>
      </c>
      <c r="B7" s="15">
        <f>Assumptions!B36</f>
        <v/>
      </c>
    </row>
    <row r="8">
      <c r="A8" s="21" t="inlineStr">
        <is>
          <t>Exit Enterprise Value</t>
        </is>
      </c>
      <c r="B8" s="14">
        <f>B6*B7</f>
        <v/>
      </c>
    </row>
    <row r="9">
      <c r="A9" s="5" t="inlineStr">
        <is>
          <t>(-) Net Debt at Exit</t>
        </is>
      </c>
      <c r="B9" s="14">
        <f>'Debt Schedule'!G24</f>
        <v/>
      </c>
    </row>
    <row r="10">
      <c r="A10" s="17" t="inlineStr">
        <is>
          <t>Exit Equity Value</t>
        </is>
      </c>
      <c r="B10" s="18">
        <f>B8-B9</f>
        <v/>
      </c>
    </row>
    <row r="13">
      <c r="A13" s="4" t="inlineStr">
        <is>
          <t>RETURNS SUMMARY</t>
        </is>
      </c>
    </row>
    <row r="14">
      <c r="A14" s="5" t="inlineStr">
        <is>
          <t>Initial Equity Investment</t>
        </is>
      </c>
      <c r="B14" s="14">
        <f>'Sources &amp; Uses'!B10</f>
        <v/>
      </c>
    </row>
    <row r="15">
      <c r="A15" s="5" t="inlineStr">
        <is>
          <t>Exit Equity Value</t>
        </is>
      </c>
      <c r="B15" s="14">
        <f>B10</f>
        <v/>
      </c>
    </row>
    <row r="16">
      <c r="A16" s="5" t="inlineStr">
        <is>
          <t>Total Equity Gain</t>
        </is>
      </c>
      <c r="B16" s="14">
        <f>B15-B14</f>
        <v/>
      </c>
    </row>
    <row r="18">
      <c r="A18" s="21" t="inlineStr">
        <is>
          <t>MOIC (Multiple on Invested Capital)</t>
        </is>
      </c>
      <c r="B18" s="23">
        <f>B10/B14</f>
        <v/>
      </c>
    </row>
    <row r="19">
      <c r="A19" s="21" t="inlineStr">
        <is>
          <t>IRR (Internal Rate of Return)</t>
        </is>
      </c>
      <c r="B19" s="24">
        <f>(B10/B14)^(1/Assumptions!B35)-1</f>
        <v/>
      </c>
    </row>
    <row r="22">
      <c r="A22" s="4" t="inlineStr">
        <is>
          <t>SENSITIVITY ANALYSIS</t>
        </is>
      </c>
    </row>
    <row r="24">
      <c r="A24" s="5" t="inlineStr">
        <is>
          <t>MOIC: Entry Multiple vs Exit Multiple</t>
        </is>
      </c>
    </row>
    <row r="25">
      <c r="B25" s="8" t="inlineStr">
        <is>
          <t>Exit Multiple</t>
        </is>
      </c>
      <c r="C25" s="8" t="n"/>
      <c r="D25" s="8" t="n"/>
      <c r="E25" s="8" t="n"/>
      <c r="F25" s="8" t="n"/>
      <c r="G25" s="8" t="n"/>
    </row>
    <row r="26">
      <c r="A26" s="8" t="inlineStr">
        <is>
          <t>Entry</t>
        </is>
      </c>
      <c r="B26" s="25" t="n">
        <v>6</v>
      </c>
      <c r="C26" s="25" t="n">
        <v>7</v>
      </c>
      <c r="D26" s="25" t="n">
        <v>8</v>
      </c>
      <c r="E26" s="25" t="n">
        <v>9</v>
      </c>
      <c r="F26" s="25" t="n">
        <v>10</v>
      </c>
      <c r="G26" s="8" t="n"/>
    </row>
    <row r="27">
      <c r="A27" s="26" t="n">
        <v>6</v>
      </c>
      <c r="B27" s="27">
        <f>6.0/6.0*B18</f>
        <v/>
      </c>
      <c r="C27" s="27">
        <f>7.0/6.0*B18</f>
        <v/>
      </c>
      <c r="D27" s="27">
        <f>8.0/6.0*B18</f>
        <v/>
      </c>
      <c r="E27" s="27">
        <f>9.0/6.0*B18</f>
        <v/>
      </c>
      <c r="F27" s="27">
        <f>10.0/6.0*B18</f>
        <v/>
      </c>
    </row>
    <row r="28">
      <c r="A28" s="26" t="n">
        <v>7</v>
      </c>
      <c r="B28" s="27">
        <f>6.0/7.0*B18</f>
        <v/>
      </c>
      <c r="C28" s="27">
        <f>7.0/7.0*B18</f>
        <v/>
      </c>
      <c r="D28" s="27">
        <f>8.0/7.0*B18</f>
        <v/>
      </c>
      <c r="E28" s="27">
        <f>9.0/7.0*B18</f>
        <v/>
      </c>
      <c r="F28" s="27">
        <f>10.0/7.0*B18</f>
        <v/>
      </c>
    </row>
    <row r="29">
      <c r="A29" s="26" t="n">
        <v>8</v>
      </c>
      <c r="B29" s="27">
        <f>6.0/8.0*B18</f>
        <v/>
      </c>
      <c r="C29" s="27">
        <f>7.0/8.0*B18</f>
        <v/>
      </c>
      <c r="D29" s="27">
        <f>8.0/8.0*B18</f>
        <v/>
      </c>
      <c r="E29" s="27">
        <f>9.0/8.0*B18</f>
        <v/>
      </c>
      <c r="F29" s="27">
        <f>10.0/8.0*B18</f>
        <v/>
      </c>
    </row>
    <row r="30">
      <c r="A30" s="26" t="n">
        <v>9</v>
      </c>
      <c r="B30" s="27">
        <f>6.0/9.0*B18</f>
        <v/>
      </c>
      <c r="C30" s="27">
        <f>7.0/9.0*B18</f>
        <v/>
      </c>
      <c r="D30" s="27">
        <f>8.0/9.0*B18</f>
        <v/>
      </c>
      <c r="E30" s="27">
        <f>9.0/9.0*B18</f>
        <v/>
      </c>
      <c r="F30" s="27">
        <f>10.0/9.0*B18</f>
        <v/>
      </c>
    </row>
    <row r="31">
      <c r="A31" s="26" t="n">
        <v>10</v>
      </c>
      <c r="B31" s="27">
        <f>6.0/10.0*B18</f>
        <v/>
      </c>
      <c r="C31" s="27">
        <f>7.0/10.0*B18</f>
        <v/>
      </c>
      <c r="D31" s="27">
        <f>8.0/10.0*B18</f>
        <v/>
      </c>
      <c r="E31" s="27">
        <f>9.0/10.0*B18</f>
        <v/>
      </c>
      <c r="F31" s="27">
        <f>10.0/10.0*B18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2026-02-04T21:24:46Z</dcterms:created>
  <dcterms:modified xmlns:dcterms="http://purl.org/dc/terms/" xmlns:xsi="http://www.w3.org/2001/XMLSchema-instance" xsi:type="dcterms:W3CDTF">2026-02-04T21:24:46Z</dcterms:modified>
</cp:coreProperties>
</file>