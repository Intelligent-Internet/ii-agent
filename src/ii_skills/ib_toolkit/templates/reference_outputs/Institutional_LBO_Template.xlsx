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Revenue Build" sheetId="3" state="visible" r:id="rId3"/>
    <sheet xmlns:r="http://schemas.openxmlformats.org/officeDocument/2006/relationships" name="Expense Build" sheetId="4" state="visible" r:id="rId4"/>
    <sheet xmlns:r="http://schemas.openxmlformats.org/officeDocument/2006/relationships" name="Operating Model" sheetId="5" state="visible" r:id="rId5"/>
    <sheet xmlns:r="http://schemas.openxmlformats.org/officeDocument/2006/relationships" name="Debt Schedule" sheetId="6" state="visible" r:id="rId6"/>
    <sheet xmlns:r="http://schemas.openxmlformats.org/officeDocument/2006/relationships" name="Working Capital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Returns Analysi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Scenario Analysis" sheetId="11" state="visible" r:id="rId11"/>
    <sheet xmlns:r="http://schemas.openxmlformats.org/officeDocument/2006/relationships" name="Mgmt vs Buyer Case" sheetId="12" state="visible" r:id="rId12"/>
    <sheet xmlns:r="http://schemas.openxmlformats.org/officeDocument/2006/relationships" name="DCF Valuation" sheetId="13" state="visible" r:id="rId13"/>
    <sheet xmlns:r="http://schemas.openxmlformats.org/officeDocument/2006/relationships" name="Covenant Analysi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(#,##0.0)"/>
    <numFmt numFmtId="167" formatCode="0.0x"/>
    <numFmt numFmtId="168" formatCode="0.00x"/>
    <numFmt numFmtId="169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color rgb="000000FF"/>
    </font>
    <font>
      <b val="1"/>
    </font>
    <font>
      <i val="1"/>
      <color rgb="00666666"/>
    </font>
    <font>
      <color rgb="00FF0000"/>
    </font>
    <font>
      <i val="1"/>
      <color rgb="00FF0000"/>
    </font>
    <font>
      <b val="1"/>
      <sz val="24"/>
    </font>
    <font>
      <sz val="18"/>
    </font>
  </fonts>
  <fills count="8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FFF3CD"/>
        <bgColor rgb="00FFF3CD"/>
      </patternFill>
    </fill>
    <fill>
      <patternFill patternType="solid">
        <fgColor rgb="0090EE90"/>
        <bgColor rgb="0090EE90"/>
      </patternFill>
    </fill>
    <fill>
      <patternFill patternType="solid">
        <fgColor rgb="00FFFF90"/>
        <bgColor rgb="00FFFF90"/>
      </patternFill>
    </fill>
    <fill>
      <patternFill patternType="solid">
        <fgColor rgb="00FFD090"/>
        <bgColor rgb="00FFD090"/>
      </patternFill>
    </fill>
    <fill>
      <patternFill patternType="solid">
        <fgColor rgb="00FF9090"/>
        <bgColor rgb="00FF9090"/>
      </patternFill>
    </fill>
  </fills>
  <borders count="3">
    <border>
      <left/>
      <right/>
      <top/>
      <bottom/>
      <diagonal/>
    </border>
    <border>
      <bottom style="double"/>
    </border>
    <border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4" fontId="0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164" fontId="4" fillId="3" borderId="0" pivotButton="0" quotePrefix="0" xfId="0"/>
    <xf numFmtId="165" fontId="0" fillId="0" borderId="0" pivotButton="0" quotePrefix="0" xfId="0"/>
    <xf numFmtId="165" fontId="5" fillId="0" borderId="1" pivotButton="0" quotePrefix="0" xfId="0"/>
    <xf numFmtId="165" fontId="5" fillId="0" borderId="2" pivotButton="0" quotePrefix="0" xfId="0"/>
    <xf numFmtId="164" fontId="6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0" fontId="4" fillId="3" borderId="0" pivotButton="0" quotePrefix="0" xfId="0"/>
    <xf numFmtId="2" fontId="4" fillId="3" borderId="0" pivotButton="0" quotePrefix="0" xfId="0"/>
    <xf numFmtId="164" fontId="1" fillId="4" borderId="0" pivotButton="0" quotePrefix="0" xfId="0"/>
    <xf numFmtId="167" fontId="4" fillId="3" borderId="0" pivotButton="0" quotePrefix="0" xfId="0"/>
    <xf numFmtId="168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168" fontId="0" fillId="4" borderId="0" pivotButton="0" quotePrefix="0" xfId="0"/>
    <xf numFmtId="164" fontId="0" fillId="4" borderId="0" pivotButton="0" quotePrefix="0" xfId="0"/>
    <xf numFmtId="0" fontId="3" fillId="2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68" fontId="0" fillId="5" borderId="0" pivotButton="0" quotePrefix="0" xfId="0"/>
    <xf numFmtId="168" fontId="0" fillId="6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9" fontId="4" fillId="3" borderId="0" pivotButton="0" quotePrefix="0" xfId="0"/>
    <xf numFmtId="164" fontId="5" fillId="0" borderId="0" pivotButton="0" quotePrefix="0" xfId="0"/>
    <xf numFmtId="168" fontId="1" fillId="4" borderId="0" pivotButton="0" quotePrefix="0" xfId="0"/>
    <xf numFmtId="165" fontId="7" fillId="0" borderId="0" pivotButton="0" quotePrefix="0" xfId="0"/>
    <xf numFmtId="164" fontId="8" fillId="0" borderId="0" pivotButton="0" quotePrefix="0" xfId="0"/>
    <xf numFmtId="168" fontId="5" fillId="0" borderId="0" pivotButton="0" quotePrefix="0" xfId="0"/>
    <xf numFmtId="168" fontId="5" fillId="4" borderId="0" pivotButton="0" quotePrefix="0" xfId="0"/>
    <xf numFmtId="164" fontId="5" fillId="4" borderId="0" pivotButton="0" quotePrefix="0" xfId="0"/>
    <xf numFmtId="169" fontId="0" fillId="0" borderId="0" pivotButton="0" quotePrefix="0" xfId="0"/>
    <xf numFmtId="165" fontId="1" fillId="4" borderId="0" pivotButton="0" quotePrefix="0" xfId="0"/>
    <xf numFmtId="167" fontId="5" fillId="4" borderId="0" pivotButton="0" quotePrefix="0" xfId="0"/>
    <xf numFmtId="167" fontId="6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Test Company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Comprehensive</t>
        </is>
      </c>
    </row>
    <row r="10">
      <c r="B10" t="inlineStr">
        <is>
          <t>Sheets:</t>
        </is>
      </c>
    </row>
    <row r="11">
      <c r="B11" t="inlineStr">
        <is>
          <t xml:space="preserve">  • Sources &amp; Uses</t>
        </is>
      </c>
    </row>
    <row r="12">
      <c r="B12" t="inlineStr">
        <is>
          <t xml:space="preserve">  • Revenue Build</t>
        </is>
      </c>
    </row>
    <row r="13">
      <c r="B13" t="inlineStr">
        <is>
          <t xml:space="preserve">  • Expense Build</t>
        </is>
      </c>
    </row>
    <row r="14">
      <c r="B14" t="inlineStr">
        <is>
          <t xml:space="preserve">  • Operating Model</t>
        </is>
      </c>
    </row>
    <row r="15">
      <c r="B15" t="inlineStr">
        <is>
          <t xml:space="preserve">  • Debt Schedule</t>
        </is>
      </c>
    </row>
    <row r="16">
      <c r="B16" t="inlineStr">
        <is>
          <t xml:space="preserve">  • Working Capital</t>
        </is>
      </c>
    </row>
    <row r="17">
      <c r="B17" t="inlineStr">
        <is>
          <t xml:space="preserve">  • WACC</t>
        </is>
      </c>
    </row>
    <row r="18">
      <c r="B18" t="inlineStr">
        <is>
          <t xml:space="preserve">  • Returns Analysis</t>
        </is>
      </c>
    </row>
    <row r="19">
      <c r="B19" t="inlineStr">
        <is>
          <t xml:space="preserve">  • Sensitivity</t>
        </is>
      </c>
    </row>
    <row r="20">
      <c r="B20" t="inlineStr">
        <is>
          <t xml:space="preserve">  • Scenario Analysis</t>
        </is>
      </c>
    </row>
    <row r="21">
      <c r="B21" t="inlineStr">
        <is>
          <t xml:space="preserve">  • Mgmt vs Buyer Case</t>
        </is>
      </c>
    </row>
    <row r="22">
      <c r="B22" t="inlineStr">
        <is>
          <t xml:space="preserve">  • DCF Valuation</t>
        </is>
      </c>
    </row>
    <row r="23">
      <c r="B23" t="inlineStr">
        <is>
          <t xml:space="preserve">  • Covenant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3" t="inlineStr">
        <is>
          <t>Test Company - Sources &amp; Uses</t>
        </is>
      </c>
    </row>
    <row r="3">
      <c r="A3" s="4" t="inlineStr">
        <is>
          <t>Sources</t>
        </is>
      </c>
      <c r="B3" s="4" t="inlineStr">
        <is>
          <t>$M</t>
        </is>
      </c>
      <c r="C3" s="4" t="inlineStr">
        <is>
          <t>% of Total</t>
        </is>
      </c>
    </row>
    <row r="4">
      <c r="A4" t="inlineStr">
        <is>
          <t>Senior Secured Debt</t>
        </is>
      </c>
      <c r="B4" s="5" t="n">
        <v>80</v>
      </c>
      <c r="C4" s="6" t="n">
        <v>0.4844081138359068</v>
      </c>
    </row>
    <row r="5">
      <c r="A5" t="inlineStr">
        <is>
          <t>Subordinated Debt</t>
        </is>
      </c>
      <c r="B5" s="5" t="n">
        <v>30</v>
      </c>
      <c r="C5" s="6" t="n">
        <v>0.181653042688465</v>
      </c>
    </row>
    <row r="6">
      <c r="A6" t="inlineStr">
        <is>
          <t>Sponsor Equity</t>
        </is>
      </c>
      <c r="B6" s="5" t="n">
        <v>55.15000000000001</v>
      </c>
      <c r="C6" s="6" t="n">
        <v>0.3339388434756282</v>
      </c>
    </row>
    <row r="7">
      <c r="A7" s="7" t="inlineStr">
        <is>
          <t>Total Sources</t>
        </is>
      </c>
      <c r="B7" s="7" t="n">
        <v>165.15</v>
      </c>
      <c r="C7" s="8" t="n">
        <v>1</v>
      </c>
    </row>
    <row r="9">
      <c r="A9" s="4" t="inlineStr">
        <is>
          <t>Uses</t>
        </is>
      </c>
      <c r="B9" s="4" t="inlineStr">
        <is>
          <t>$M</t>
        </is>
      </c>
      <c r="C9" s="4" t="inlineStr">
        <is>
          <t>% of Total</t>
        </is>
      </c>
    </row>
    <row r="10">
      <c r="A10" t="inlineStr">
        <is>
          <t>Purchase Enterprise Value</t>
        </is>
      </c>
      <c r="B10" t="n">
        <v>160</v>
      </c>
      <c r="C10" s="6" t="n">
        <v>0.9688162276718135</v>
      </c>
    </row>
    <row r="11">
      <c r="A11" t="inlineStr">
        <is>
          <t>Transaction Fees</t>
        </is>
      </c>
      <c r="B11" t="n">
        <v>2.4</v>
      </c>
      <c r="C11" s="6" t="n">
        <v>0.0145322434150772</v>
      </c>
    </row>
    <row r="12">
      <c r="A12" t="inlineStr">
        <is>
          <t>Financing Fees</t>
        </is>
      </c>
      <c r="B12" t="n">
        <v>2.75</v>
      </c>
      <c r="C12" s="6" t="n">
        <v>0.0166515289131093</v>
      </c>
    </row>
    <row r="13">
      <c r="A13" s="7" t="inlineStr">
        <is>
          <t>Total Uses</t>
        </is>
      </c>
      <c r="B13" s="7" t="n">
        <v>165.15</v>
      </c>
      <c r="C13" s="8" t="n">
        <v>1</v>
      </c>
    </row>
    <row r="15">
      <c r="A15" s="9" t="inlineStr">
        <is>
          <t>Key Metrics</t>
        </is>
      </c>
    </row>
    <row r="16">
      <c r="A16" t="inlineStr">
        <is>
          <t>Entry EV / EBITDA</t>
        </is>
      </c>
      <c r="B16" t="inlineStr">
        <is>
          <t>8.0x</t>
        </is>
      </c>
    </row>
    <row r="17">
      <c r="A17" t="inlineStr">
        <is>
          <t>Total Debt / EBITDA</t>
        </is>
      </c>
      <c r="B17" t="inlineStr">
        <is>
          <t>5.5x</t>
        </is>
      </c>
    </row>
    <row r="18">
      <c r="A18" t="inlineStr">
        <is>
          <t>Senior Debt / EBITDA</t>
        </is>
      </c>
      <c r="B18" t="inlineStr">
        <is>
          <t>4.0x</t>
        </is>
      </c>
    </row>
    <row r="19">
      <c r="A19" t="inlineStr">
        <is>
          <t>Equity Check</t>
        </is>
      </c>
      <c r="B19" t="inlineStr">
        <is>
          <t>$55.2M</t>
        </is>
      </c>
    </row>
    <row r="20">
      <c r="A20" t="inlineStr">
        <is>
          <t>Equity / EV</t>
        </is>
      </c>
      <c r="B20" t="inlineStr">
        <is>
          <t>34.5%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Revenue Build</t>
        </is>
      </c>
    </row>
    <row r="3">
      <c r="B3" s="10" t="inlineStr">
        <is>
          <t>LTM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9" t="inlineStr">
        <is>
          <t>Segment Assumptions</t>
        </is>
      </c>
    </row>
    <row r="5">
      <c r="A5" s="4" t="inlineStr">
        <is>
          <t>Segment</t>
        </is>
      </c>
      <c r="B5" s="4" t="inlineStr">
        <is>
          <t>LTM %</t>
        </is>
      </c>
      <c r="C5" s="4" t="inlineStr">
        <is>
          <t>Y1 Growth</t>
        </is>
      </c>
      <c r="D5" s="4" t="inlineStr">
        <is>
          <t>Y2 Growth</t>
        </is>
      </c>
      <c r="E5" s="4" t="inlineStr">
        <is>
          <t>Y3 Growth</t>
        </is>
      </c>
      <c r="F5" s="4" t="inlineStr">
        <is>
          <t>Y4 Growth</t>
        </is>
      </c>
      <c r="G5" s="4" t="inlineStr">
        <is>
          <t>Y5 Growth</t>
        </is>
      </c>
    </row>
    <row r="6">
      <c r="A6" t="inlineStr">
        <is>
          <t>Segment A</t>
        </is>
      </c>
      <c r="B6" s="11" t="n">
        <v>0.5</v>
      </c>
      <c r="C6" s="11" t="n">
        <v>0.1</v>
      </c>
      <c r="D6" s="11" t="n">
        <v>0.09</v>
      </c>
      <c r="E6" s="11" t="n">
        <v>0.08</v>
      </c>
      <c r="F6" s="11" t="n">
        <v>0.07000000000000001</v>
      </c>
      <c r="G6" s="11" t="n">
        <v>0.06</v>
      </c>
    </row>
    <row r="7">
      <c r="A7" t="inlineStr">
        <is>
          <t>Segment B</t>
        </is>
      </c>
      <c r="B7" s="11" t="n">
        <v>0.3</v>
      </c>
      <c r="C7" s="11" t="n">
        <v>0.06</v>
      </c>
      <c r="D7" s="11" t="n">
        <v>0.05</v>
      </c>
      <c r="E7" s="11" t="n">
        <v>0.05</v>
      </c>
      <c r="F7" s="11" t="n">
        <v>0.04</v>
      </c>
      <c r="G7" s="11" t="n">
        <v>0.04</v>
      </c>
    </row>
    <row r="8">
      <c r="A8" t="inlineStr">
        <is>
          <t>Segment C</t>
        </is>
      </c>
      <c r="B8" s="11" t="n">
        <v>0.2</v>
      </c>
      <c r="C8" s="11" t="n">
        <v>0.04</v>
      </c>
      <c r="D8" s="11" t="n">
        <v>0.03</v>
      </c>
      <c r="E8" s="11" t="n">
        <v>0.03</v>
      </c>
      <c r="F8" s="11" t="n">
        <v>0.02</v>
      </c>
      <c r="G8" s="11" t="n">
        <v>0.02</v>
      </c>
    </row>
    <row r="10">
      <c r="A10" s="9" t="inlineStr">
        <is>
          <t>Revenue by Segment ($M)</t>
        </is>
      </c>
    </row>
    <row r="11">
      <c r="A11" t="inlineStr">
        <is>
          <t>Segment A</t>
        </is>
      </c>
      <c r="B11" s="12" t="n">
        <v>50</v>
      </c>
      <c r="C11" s="12" t="n">
        <v>55.00000000000001</v>
      </c>
      <c r="D11" s="12" t="n">
        <v>59.95000000000001</v>
      </c>
      <c r="E11" s="12" t="n">
        <v>64.74600000000001</v>
      </c>
      <c r="F11" s="12" t="n">
        <v>69.27822000000002</v>
      </c>
      <c r="G11" s="12" t="n">
        <v>73.43491320000003</v>
      </c>
    </row>
    <row r="12">
      <c r="A12" t="inlineStr">
        <is>
          <t>Segment B</t>
        </is>
      </c>
      <c r="B12" s="12" t="n">
        <v>30</v>
      </c>
      <c r="C12" s="12" t="n">
        <v>31.8</v>
      </c>
      <c r="D12" s="12" t="n">
        <v>33.39</v>
      </c>
      <c r="E12" s="12" t="n">
        <v>35.0595</v>
      </c>
      <c r="F12" s="12" t="n">
        <v>36.46188</v>
      </c>
      <c r="G12" s="12" t="n">
        <v>37.9203552</v>
      </c>
    </row>
    <row r="13">
      <c r="A13" t="inlineStr">
        <is>
          <t>Segment C</t>
        </is>
      </c>
      <c r="B13" s="12" t="n">
        <v>20</v>
      </c>
      <c r="C13" s="12" t="n">
        <v>20.8</v>
      </c>
      <c r="D13" s="12" t="n">
        <v>21.424</v>
      </c>
      <c r="E13" s="12" t="n">
        <v>22.06672</v>
      </c>
      <c r="F13" s="12" t="n">
        <v>22.5080544</v>
      </c>
      <c r="G13" s="12" t="n">
        <v>22.958215488</v>
      </c>
    </row>
    <row r="14">
      <c r="A14" t="inlineStr">
        <is>
          <t>Total Revenue</t>
        </is>
      </c>
      <c r="B14" s="13">
        <f>SUM(B11:B13)</f>
        <v/>
      </c>
      <c r="C14" s="13">
        <f>SUM(C11:C13)</f>
        <v/>
      </c>
      <c r="D14" s="13">
        <f>SUM(D11:D13)</f>
        <v/>
      </c>
      <c r="E14" s="13">
        <f>SUM(E11:E13)</f>
        <v/>
      </c>
      <c r="F14" s="13">
        <f>SUM(F11:F13)</f>
        <v/>
      </c>
      <c r="G14" s="13">
        <f>SUM(G11:G13)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Expense Build</t>
        </is>
      </c>
    </row>
    <row r="3">
      <c r="B3" s="10" t="inlineStr">
        <is>
          <t>LTM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9" t="inlineStr">
        <is>
          <t>COGS Breakdown ($M)</t>
        </is>
      </c>
    </row>
    <row r="5">
      <c r="A5" t="inlineStr">
        <is>
          <t>Materials</t>
        </is>
      </c>
      <c r="B5" s="12" t="n">
        <v>35</v>
      </c>
      <c r="C5" s="12" t="n">
        <v>37.8</v>
      </c>
      <c r="D5" s="12" t="n">
        <v>40.446</v>
      </c>
      <c r="E5" s="12" t="n">
        <v>42.87276</v>
      </c>
      <c r="F5" s="12" t="n">
        <v>45.01639800000001</v>
      </c>
      <c r="G5" s="12" t="n">
        <v>47.26721790000001</v>
      </c>
    </row>
    <row r="6">
      <c r="A6" t="inlineStr">
        <is>
          <t>Direct Labor</t>
        </is>
      </c>
      <c r="B6" s="12" t="n">
        <v>15</v>
      </c>
      <c r="C6" s="12" t="n">
        <v>16.2</v>
      </c>
      <c r="D6" s="12" t="n">
        <v>17.334</v>
      </c>
      <c r="E6" s="12" t="n">
        <v>18.37404</v>
      </c>
      <c r="F6" s="12" t="n">
        <v>19.292742</v>
      </c>
      <c r="G6" s="12" t="n">
        <v>20.2573791</v>
      </c>
    </row>
    <row r="7">
      <c r="A7" t="inlineStr">
        <is>
          <t>Manufacturing OH</t>
        </is>
      </c>
      <c r="B7" s="12" t="n">
        <v>10</v>
      </c>
      <c r="C7" s="12" t="n">
        <v>10.8</v>
      </c>
      <c r="D7" s="12" t="n">
        <v>11.556</v>
      </c>
      <c r="E7" s="12" t="n">
        <v>12.24936</v>
      </c>
      <c r="F7" s="12" t="n">
        <v>12.861828</v>
      </c>
      <c r="G7" s="12" t="n">
        <v>13.5049194</v>
      </c>
    </row>
    <row r="8">
      <c r="A8" t="inlineStr">
        <is>
          <t>Total COGS</t>
        </is>
      </c>
      <c r="B8" s="14" t="n">
        <v>60</v>
      </c>
      <c r="C8" s="14" t="n">
        <v>64.8</v>
      </c>
      <c r="D8" s="14" t="n">
        <v>69.336</v>
      </c>
      <c r="E8" s="14" t="n">
        <v>73.49616</v>
      </c>
      <c r="F8" s="14" t="n">
        <v>77.17096800000002</v>
      </c>
      <c r="G8" s="14" t="n">
        <v>81.02951640000002</v>
      </c>
    </row>
    <row r="10">
      <c r="A10" s="9" t="inlineStr">
        <is>
          <t>SG&amp;A Breakdown ($M)</t>
        </is>
      </c>
    </row>
    <row r="11">
      <c r="A11" t="inlineStr">
        <is>
          <t>Sales &amp; Marketing</t>
        </is>
      </c>
      <c r="B11" s="12" t="n">
        <v>8</v>
      </c>
      <c r="C11" s="12" t="n">
        <v>8.640000000000001</v>
      </c>
      <c r="D11" s="12" t="n">
        <v>9.2448</v>
      </c>
      <c r="E11" s="12" t="n">
        <v>9.799488000000002</v>
      </c>
      <c r="F11" s="12" t="n">
        <v>10.2894624</v>
      </c>
      <c r="G11" s="12" t="n">
        <v>10.80393552</v>
      </c>
    </row>
    <row r="12">
      <c r="A12" t="inlineStr">
        <is>
          <t>General &amp; Admin</t>
        </is>
      </c>
      <c r="B12" s="12" t="n">
        <v>5</v>
      </c>
      <c r="C12" s="12" t="n">
        <v>5.4</v>
      </c>
      <c r="D12" s="12" t="n">
        <v>5.778</v>
      </c>
      <c r="E12" s="12" t="n">
        <v>6.124680000000001</v>
      </c>
      <c r="F12" s="12" t="n">
        <v>6.430914000000001</v>
      </c>
      <c r="G12" s="12" t="n">
        <v>6.752459700000002</v>
      </c>
    </row>
    <row r="13">
      <c r="A13" t="inlineStr">
        <is>
          <t>R&amp;D</t>
        </is>
      </c>
      <c r="B13" s="12" t="n">
        <v>4</v>
      </c>
      <c r="C13" s="12" t="n">
        <v>4.32</v>
      </c>
      <c r="D13" s="12" t="n">
        <v>4.6224</v>
      </c>
      <c r="E13" s="12" t="n">
        <v>4.899744000000001</v>
      </c>
      <c r="F13" s="12" t="n">
        <v>5.144731200000002</v>
      </c>
      <c r="G13" s="12" t="n">
        <v>5.401967760000002</v>
      </c>
    </row>
    <row r="14">
      <c r="A14" t="inlineStr">
        <is>
          <t>Other</t>
        </is>
      </c>
      <c r="B14" s="12" t="n">
        <v>3</v>
      </c>
      <c r="C14" s="12" t="n">
        <v>3.24</v>
      </c>
      <c r="D14" s="12" t="n">
        <v>3.4668</v>
      </c>
      <c r="E14" s="12" t="n">
        <v>3.674808000000001</v>
      </c>
      <c r="F14" s="12" t="n">
        <v>3.858548400000001</v>
      </c>
      <c r="G14" s="12" t="n">
        <v>4.05147582</v>
      </c>
    </row>
    <row r="15">
      <c r="A15" t="inlineStr">
        <is>
          <t>Total SG&amp;A</t>
        </is>
      </c>
      <c r="B15" s="14" t="n">
        <v>20</v>
      </c>
      <c r="C15" s="14" t="n">
        <v>21.6</v>
      </c>
      <c r="D15" s="14" t="n">
        <v>23.112</v>
      </c>
      <c r="E15" s="14" t="n">
        <v>24.49872000000001</v>
      </c>
      <c r="F15" s="14" t="n">
        <v>25.72365600000001</v>
      </c>
      <c r="G15" s="14" t="n">
        <v>27.00983880000001</v>
      </c>
    </row>
    <row r="17">
      <c r="A17" s="9" t="inlineStr">
        <is>
          <t>P&amp;L Summary ($M)</t>
        </is>
      </c>
    </row>
    <row r="18">
      <c r="A18" t="inlineStr">
        <is>
          <t>Revenue</t>
        </is>
      </c>
      <c r="B18" s="12" t="n">
        <v>100</v>
      </c>
      <c r="C18" s="12" t="n">
        <v>108</v>
      </c>
      <c r="D18" s="12" t="n">
        <v>115.56</v>
      </c>
      <c r="E18" s="12" t="n">
        <v>122.4936</v>
      </c>
      <c r="F18" s="12" t="n">
        <v>128.61828</v>
      </c>
      <c r="G18" s="12" t="n">
        <v>135.049194</v>
      </c>
    </row>
    <row r="19">
      <c r="A19" t="inlineStr">
        <is>
          <t>Gross Profit</t>
        </is>
      </c>
      <c r="B19" s="12" t="n">
        <v>40</v>
      </c>
      <c r="C19" s="12" t="n">
        <v>43.2</v>
      </c>
      <c r="D19" s="12" t="n">
        <v>46.224</v>
      </c>
      <c r="E19" s="12" t="n">
        <v>48.99744000000001</v>
      </c>
      <c r="F19" s="12" t="n">
        <v>51.44731200000001</v>
      </c>
      <c r="G19" s="12" t="n">
        <v>54.01967760000002</v>
      </c>
    </row>
    <row r="20">
      <c r="A20" t="inlineStr">
        <is>
          <t xml:space="preserve">  Gross Margin %</t>
        </is>
      </c>
      <c r="B20" s="15" t="n">
        <v>0.4</v>
      </c>
      <c r="C20" s="15" t="n">
        <v>0.4</v>
      </c>
      <c r="D20" s="15" t="n">
        <v>0.4</v>
      </c>
      <c r="E20" s="15" t="n">
        <v>0.4</v>
      </c>
      <c r="F20" s="15" t="n">
        <v>0.4</v>
      </c>
      <c r="G20" s="15" t="n">
        <v>0.4</v>
      </c>
    </row>
    <row r="22">
      <c r="A22" t="inlineStr">
        <is>
          <t>EBITDA</t>
        </is>
      </c>
      <c r="B22" s="16" t="n">
        <v>20</v>
      </c>
      <c r="C22" s="16" t="n">
        <v>21.6</v>
      </c>
      <c r="D22" s="16" t="n">
        <v>23.112</v>
      </c>
      <c r="E22" s="16" t="n">
        <v>24.49872000000001</v>
      </c>
      <c r="F22" s="16" t="n">
        <v>25.72365600000001</v>
      </c>
      <c r="G22" s="16" t="n">
        <v>27.00983880000001</v>
      </c>
    </row>
    <row r="23">
      <c r="A23" t="inlineStr">
        <is>
          <t xml:space="preserve">  EBITDA Margin %</t>
        </is>
      </c>
      <c r="B23" s="15" t="n">
        <v>0.2</v>
      </c>
      <c r="C23" s="15" t="n">
        <v>0.2</v>
      </c>
      <c r="D23" s="15" t="n">
        <v>0.2</v>
      </c>
      <c r="E23" s="15" t="n">
        <v>0.2</v>
      </c>
      <c r="F23" s="15" t="n">
        <v>0.2</v>
      </c>
      <c r="G23" s="1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Operating Model</t>
        </is>
      </c>
    </row>
    <row r="3">
      <c r="B3" s="10" t="inlineStr">
        <is>
          <t>LTM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9" t="inlineStr">
        <is>
          <t>Assumptions</t>
        </is>
      </c>
    </row>
    <row r="5">
      <c r="A5" t="inlineStr">
        <is>
          <t>Revenue Growth %</t>
        </is>
      </c>
      <c r="B5" t="inlineStr">
        <is>
          <t>—</t>
        </is>
      </c>
      <c r="C5" s="11" t="n">
        <v>0.08</v>
      </c>
      <c r="D5" s="11" t="n">
        <v>0.07000000000000001</v>
      </c>
      <c r="E5" s="11" t="n">
        <v>0.06</v>
      </c>
      <c r="F5" s="11" t="n">
        <v>0.05</v>
      </c>
      <c r="G5" s="11" t="n">
        <v>0.05</v>
      </c>
    </row>
    <row r="6">
      <c r="A6" t="inlineStr">
        <is>
          <t>EBITDA Margin %</t>
        </is>
      </c>
      <c r="B6" s="6" t="n">
        <v>0.2</v>
      </c>
      <c r="C6" s="11" t="n">
        <v>0.2</v>
      </c>
      <c r="D6" s="11" t="n">
        <v>0.21</v>
      </c>
      <c r="E6" s="11" t="n">
        <v>0.22</v>
      </c>
      <c r="F6" s="11" t="n">
        <v>0.22</v>
      </c>
      <c r="G6" s="11" t="n">
        <v>0.22</v>
      </c>
    </row>
    <row r="7">
      <c r="A7" t="inlineStr">
        <is>
          <t>CapEx % Revenue</t>
        </is>
      </c>
      <c r="B7" s="11" t="n">
        <v>0.05</v>
      </c>
      <c r="C7" s="11" t="n">
        <v>0.05</v>
      </c>
      <c r="D7" s="11" t="n">
        <v>0.05</v>
      </c>
      <c r="E7" s="11" t="n">
        <v>0.05</v>
      </c>
      <c r="F7" s="11" t="n">
        <v>0.05</v>
      </c>
      <c r="G7" s="11" t="n">
        <v>0.05</v>
      </c>
    </row>
    <row r="9">
      <c r="A9" s="9" t="inlineStr">
        <is>
          <t>Operating Model ($M)</t>
        </is>
      </c>
    </row>
    <row r="10">
      <c r="A10" t="inlineStr">
        <is>
          <t>Revenue</t>
        </is>
      </c>
      <c r="B10" s="12" t="n">
        <v>100</v>
      </c>
      <c r="C10" s="12" t="n">
        <v>108</v>
      </c>
      <c r="D10" s="12" t="n">
        <v>115.56</v>
      </c>
      <c r="E10" s="12" t="n">
        <v>122.4936</v>
      </c>
      <c r="F10" s="12" t="n">
        <v>128.61828</v>
      </c>
      <c r="G10" s="12" t="n">
        <v>135.049194</v>
      </c>
    </row>
    <row r="11">
      <c r="A11" t="inlineStr">
        <is>
          <t xml:space="preserve">  % Growth</t>
        </is>
      </c>
      <c r="B11" t="inlineStr">
        <is>
          <t>—</t>
        </is>
      </c>
      <c r="C11" s="15" t="n">
        <v>0.08000000000000007</v>
      </c>
      <c r="D11" s="15" t="n">
        <v>0.07000000000000006</v>
      </c>
      <c r="E11" s="15" t="n">
        <v>0.06000000000000005</v>
      </c>
      <c r="F11" s="15" t="n">
        <v>0.05000000000000004</v>
      </c>
      <c r="G11" s="15" t="n">
        <v>0.05000000000000004</v>
      </c>
    </row>
    <row r="13">
      <c r="A13" t="inlineStr">
        <is>
          <t>EBITDA</t>
        </is>
      </c>
      <c r="B13" s="12" t="n">
        <v>20</v>
      </c>
      <c r="C13" s="12" t="n">
        <v>21.6</v>
      </c>
      <c r="D13" s="12" t="n">
        <v>24.2676</v>
      </c>
      <c r="E13" s="12" t="n">
        <v>26.948592</v>
      </c>
      <c r="F13" s="12" t="n">
        <v>28.29602160000001</v>
      </c>
      <c r="G13" s="12" t="n">
        <v>29.71082268000001</v>
      </c>
    </row>
    <row r="14">
      <c r="A14" t="inlineStr">
        <is>
          <t xml:space="preserve">  % Margin</t>
        </is>
      </c>
      <c r="B14" s="15" t="n">
        <v>0.2</v>
      </c>
      <c r="C14" s="15" t="n">
        <v>0.2</v>
      </c>
      <c r="D14" s="15" t="n">
        <v>0.21</v>
      </c>
      <c r="E14" s="15" t="n">
        <v>0.22</v>
      </c>
      <c r="F14" s="15" t="n">
        <v>0.22</v>
      </c>
      <c r="G14" s="15" t="n">
        <v>0.22</v>
      </c>
    </row>
    <row r="16">
      <c r="A16" t="inlineStr">
        <is>
          <t>CapEx</t>
        </is>
      </c>
      <c r="B16" s="17" t="n">
        <v>-5</v>
      </c>
      <c r="C16" s="17" t="n">
        <v>-5.4</v>
      </c>
      <c r="D16" s="17" t="n">
        <v>-5.778</v>
      </c>
      <c r="E16" s="17" t="n">
        <v>-6.124680000000001</v>
      </c>
      <c r="F16" s="17" t="n">
        <v>-6.430914000000001</v>
      </c>
      <c r="G16" s="17" t="n">
        <v>-6.752459700000002</v>
      </c>
    </row>
    <row r="17">
      <c r="A17" t="inlineStr">
        <is>
          <t>D&amp;A</t>
        </is>
      </c>
      <c r="B17" s="12" t="n">
        <v>5</v>
      </c>
      <c r="C17" s="12" t="n">
        <v>5.4</v>
      </c>
      <c r="D17" s="12" t="n">
        <v>5.778</v>
      </c>
      <c r="E17" s="12" t="n">
        <v>6.124680000000001</v>
      </c>
      <c r="F17" s="12" t="n">
        <v>6.430914000000001</v>
      </c>
      <c r="G17" s="12" t="n">
        <v>6.752459700000002</v>
      </c>
    </row>
    <row r="19">
      <c r="A19" t="inlineStr">
        <is>
          <t>EBITDA - CapEx</t>
        </is>
      </c>
      <c r="B19" s="16" t="n">
        <v>15</v>
      </c>
      <c r="C19" s="16" t="n">
        <v>16.2</v>
      </c>
      <c r="D19" s="16" t="n">
        <v>18.4896</v>
      </c>
      <c r="E19" s="16" t="n">
        <v>20.823912</v>
      </c>
      <c r="F19" s="16" t="n">
        <v>21.86510760000001</v>
      </c>
      <c r="G19" s="16" t="n">
        <v>22.95836298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Debt Schedule</t>
        </is>
      </c>
    </row>
    <row r="3">
      <c r="A3" s="4" t="inlineStr"/>
      <c r="B3" s="4" t="inlineStr">
        <is>
          <t>Entry</t>
        </is>
      </c>
      <c r="C3" s="4" t="inlineStr">
        <is>
          <t>Year 1</t>
        </is>
      </c>
      <c r="D3" s="4" t="inlineStr">
        <is>
          <t>Year 2</t>
        </is>
      </c>
      <c r="E3" s="4" t="inlineStr">
        <is>
          <t>Year 3</t>
        </is>
      </c>
      <c r="F3" s="4" t="inlineStr">
        <is>
          <t>Year 4</t>
        </is>
      </c>
      <c r="G3" s="4" t="inlineStr">
        <is>
          <t>Year 5</t>
        </is>
      </c>
    </row>
    <row r="4">
      <c r="A4" s="9" t="inlineStr">
        <is>
          <t>Senior Secured Debt ($M)</t>
        </is>
      </c>
    </row>
    <row r="5">
      <c r="A5" t="inlineStr">
        <is>
          <t>Beginning Balance</t>
        </is>
      </c>
      <c r="B5" t="n">
        <v>80</v>
      </c>
      <c r="C5" s="12" t="n">
        <v>80</v>
      </c>
      <c r="D5" s="12" t="n">
        <v>79.2</v>
      </c>
      <c r="E5" s="12" t="n">
        <v>78.40000000000001</v>
      </c>
      <c r="F5" s="12" t="n">
        <v>77.60000000000001</v>
      </c>
      <c r="G5" s="12" t="n">
        <v>76.80000000000001</v>
      </c>
    </row>
    <row r="6">
      <c r="A6" t="inlineStr">
        <is>
          <t>Mandatory Amortization</t>
        </is>
      </c>
      <c r="C6" s="17" t="n">
        <v>-0.8</v>
      </c>
      <c r="D6" s="17" t="n">
        <v>-0.8</v>
      </c>
      <c r="E6" s="17" t="n">
        <v>-0.8</v>
      </c>
      <c r="F6" s="17" t="n">
        <v>-0.8</v>
      </c>
      <c r="G6" s="17" t="n">
        <v>-0.8</v>
      </c>
    </row>
    <row r="7">
      <c r="A7" t="inlineStr">
        <is>
          <t>Cash Sweep</t>
        </is>
      </c>
      <c r="C7" s="17" t="n">
        <v>-4.500000000000001</v>
      </c>
      <c r="D7" s="17" t="n">
        <v>-5.676799999999997</v>
      </c>
      <c r="E7" s="17" t="n">
        <v>-6.875956000000001</v>
      </c>
      <c r="F7" s="17" t="n">
        <v>-7.428553800000001</v>
      </c>
      <c r="G7" s="17" t="n">
        <v>-8.007181490000001</v>
      </c>
    </row>
    <row r="8">
      <c r="A8" t="inlineStr">
        <is>
          <t>Ending Balance</t>
        </is>
      </c>
      <c r="C8" s="16" t="n">
        <v>79.2</v>
      </c>
      <c r="D8" s="16" t="n">
        <v>78.40000000000001</v>
      </c>
      <c r="E8" s="16" t="n">
        <v>77.60000000000001</v>
      </c>
      <c r="F8" s="16" t="n">
        <v>76.80000000000001</v>
      </c>
      <c r="G8" s="16" t="n">
        <v>76.00000000000001</v>
      </c>
    </row>
    <row r="9">
      <c r="A9" t="inlineStr">
        <is>
          <t>Interest Rate</t>
        </is>
      </c>
      <c r="B9" s="11" t="n">
        <v>0.08</v>
      </c>
    </row>
    <row r="10">
      <c r="A10" t="inlineStr">
        <is>
          <t>Interest Expense</t>
        </is>
      </c>
      <c r="C10" s="12" t="n">
        <v>6.367999999999999</v>
      </c>
      <c r="D10" s="12" t="n">
        <v>6.304000000000001</v>
      </c>
      <c r="E10" s="12" t="n">
        <v>6.24</v>
      </c>
      <c r="F10" s="12" t="n">
        <v>6.176000000000002</v>
      </c>
      <c r="G10" s="12" t="n">
        <v>6.112000000000001</v>
      </c>
    </row>
    <row r="12">
      <c r="A12" s="9" t="inlineStr">
        <is>
          <t>Subordinated Debt ($M)</t>
        </is>
      </c>
    </row>
    <row r="13">
      <c r="A13" t="inlineStr">
        <is>
          <t>Beginning Balance</t>
        </is>
      </c>
      <c r="B13" t="n">
        <v>30</v>
      </c>
      <c r="C13" s="12" t="n">
        <v>30</v>
      </c>
      <c r="D13" s="12" t="n">
        <v>30</v>
      </c>
      <c r="E13" s="12" t="n">
        <v>30</v>
      </c>
      <c r="F13" s="12" t="n">
        <v>30</v>
      </c>
      <c r="G13" s="12" t="n">
        <v>30</v>
      </c>
    </row>
    <row r="14">
      <c r="A14" t="inlineStr">
        <is>
          <t>Ending Balance</t>
        </is>
      </c>
      <c r="C14" s="16" t="n">
        <v>30</v>
      </c>
      <c r="D14" s="16" t="n">
        <v>30</v>
      </c>
      <c r="E14" s="16" t="n">
        <v>30</v>
      </c>
      <c r="F14" s="16" t="n">
        <v>30</v>
      </c>
      <c r="G14" s="16" t="n">
        <v>30</v>
      </c>
    </row>
    <row r="15">
      <c r="A15" t="inlineStr">
        <is>
          <t>Interest Rate</t>
        </is>
      </c>
      <c r="B15" s="11" t="n">
        <v>0.12</v>
      </c>
    </row>
    <row r="16">
      <c r="A16" t="inlineStr">
        <is>
          <t>Interest Expense</t>
        </is>
      </c>
      <c r="C16" s="12" t="n">
        <v>3.6</v>
      </c>
      <c r="D16" s="12" t="n">
        <v>3.6</v>
      </c>
      <c r="E16" s="12" t="n">
        <v>3.6</v>
      </c>
      <c r="F16" s="12" t="n">
        <v>3.6</v>
      </c>
      <c r="G16" s="12" t="n">
        <v>3.6</v>
      </c>
    </row>
    <row r="18">
      <c r="A18" s="9" t="inlineStr">
        <is>
          <t>Debt Summary</t>
        </is>
      </c>
    </row>
    <row r="19">
      <c r="A19" t="inlineStr">
        <is>
          <t>Total Debt</t>
        </is>
      </c>
      <c r="B19" s="16" t="n">
        <v>110</v>
      </c>
      <c r="C19" s="16" t="n">
        <v>109.2</v>
      </c>
      <c r="D19" s="16" t="n">
        <v>108.4</v>
      </c>
      <c r="E19" s="16" t="n">
        <v>107.6</v>
      </c>
      <c r="F19" s="16" t="n">
        <v>106.8</v>
      </c>
      <c r="G19" s="16" t="n">
        <v>106</v>
      </c>
    </row>
    <row r="20">
      <c r="A20" t="inlineStr">
        <is>
          <t>Total Interest</t>
        </is>
      </c>
      <c r="C20" s="12" t="n">
        <v>9.968</v>
      </c>
      <c r="D20" s="12" t="n">
        <v>9.904</v>
      </c>
      <c r="E20" s="12" t="n">
        <v>9.84</v>
      </c>
      <c r="F20" s="12" t="n">
        <v>9.776000000000002</v>
      </c>
      <c r="G20" s="12" t="n">
        <v>9.712</v>
      </c>
    </row>
    <row r="22">
      <c r="A22" t="inlineStr">
        <is>
          <t>Debt / EBITDA</t>
        </is>
      </c>
      <c r="B22" s="18" t="n">
        <v>5.5</v>
      </c>
      <c r="C22" s="18" t="n">
        <v>5.055555555555555</v>
      </c>
      <c r="D22" s="18" t="n">
        <v>4.46686116468048</v>
      </c>
      <c r="E22" s="18" t="n">
        <v>3.992787452494735</v>
      </c>
      <c r="F22" s="18" t="n">
        <v>3.774382190887216</v>
      </c>
      <c r="G22" s="18" t="n">
        <v>3.5677234905836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Working Capital Analysis</t>
        </is>
      </c>
    </row>
    <row r="3">
      <c r="B3" s="10" t="inlineStr">
        <is>
          <t>LTM</t>
        </is>
      </c>
      <c r="C3" s="10" t="inlineStr">
        <is>
          <t>Year 1</t>
        </is>
      </c>
      <c r="D3" s="10" t="inlineStr">
        <is>
          <t>Year 2</t>
        </is>
      </c>
      <c r="E3" s="10" t="inlineStr">
        <is>
          <t>Year 3</t>
        </is>
      </c>
      <c r="F3" s="10" t="inlineStr">
        <is>
          <t>Year 4</t>
        </is>
      </c>
      <c r="G3" s="10" t="inlineStr">
        <is>
          <t>Year 5</t>
        </is>
      </c>
    </row>
    <row r="4">
      <c r="A4" s="9" t="inlineStr">
        <is>
          <t>Working Capital Assumptions (Days)</t>
        </is>
      </c>
    </row>
    <row r="5">
      <c r="A5" t="inlineStr">
        <is>
          <t>Accounts Receivable Days</t>
        </is>
      </c>
      <c r="B5" s="5" t="n">
        <v>45</v>
      </c>
      <c r="C5" s="5" t="n">
        <v>45</v>
      </c>
      <c r="D5" s="5" t="n">
        <v>45</v>
      </c>
      <c r="E5" s="5" t="n">
        <v>45</v>
      </c>
      <c r="F5" s="5" t="n">
        <v>45</v>
      </c>
      <c r="G5" s="5" t="n">
        <v>45</v>
      </c>
    </row>
    <row r="6">
      <c r="A6" t="inlineStr">
        <is>
          <t>Inventory Days</t>
        </is>
      </c>
      <c r="B6" s="5" t="n">
        <v>60</v>
      </c>
      <c r="C6" s="5" t="n">
        <v>60</v>
      </c>
      <c r="D6" s="5" t="n">
        <v>60</v>
      </c>
      <c r="E6" s="5" t="n">
        <v>60</v>
      </c>
      <c r="F6" s="5" t="n">
        <v>60</v>
      </c>
      <c r="G6" s="5" t="n">
        <v>60</v>
      </c>
    </row>
    <row r="7">
      <c r="A7" t="inlineStr">
        <is>
          <t>Accounts Payable Days</t>
        </is>
      </c>
      <c r="B7" s="5" t="n">
        <v>30</v>
      </c>
      <c r="C7" s="5" t="n">
        <v>30</v>
      </c>
      <c r="D7" s="5" t="n">
        <v>30</v>
      </c>
      <c r="E7" s="5" t="n">
        <v>30</v>
      </c>
      <c r="F7" s="5" t="n">
        <v>30</v>
      </c>
      <c r="G7" s="5" t="n">
        <v>30</v>
      </c>
    </row>
    <row r="9">
      <c r="A9" s="9" t="inlineStr">
        <is>
          <t>Current Assets ($M)</t>
        </is>
      </c>
    </row>
    <row r="10">
      <c r="A10" t="inlineStr">
        <is>
          <t>Accounts Receivable</t>
        </is>
      </c>
      <c r="B10" s="12" t="n">
        <v>12.32876712328767</v>
      </c>
      <c r="C10" s="12" t="n">
        <v>13.31506849315068</v>
      </c>
      <c r="D10" s="12" t="n">
        <v>14.24712328767123</v>
      </c>
      <c r="E10" s="12" t="n">
        <v>15.10195068493151</v>
      </c>
      <c r="F10" s="12" t="n">
        <v>15.85704821917809</v>
      </c>
      <c r="G10" s="12" t="n">
        <v>16.64990063013699</v>
      </c>
    </row>
    <row r="11">
      <c r="A11" t="inlineStr">
        <is>
          <t>Inventory</t>
        </is>
      </c>
      <c r="B11" s="12" t="n">
        <v>9.863013698630137</v>
      </c>
      <c r="C11" s="12" t="n">
        <v>10.65205479452055</v>
      </c>
      <c r="D11" s="12" t="n">
        <v>11.39769863013699</v>
      </c>
      <c r="E11" s="12" t="n">
        <v>12.08156054794521</v>
      </c>
      <c r="F11" s="12" t="n">
        <v>12.68563857534247</v>
      </c>
      <c r="G11" s="12" t="n">
        <v>13.31992050410959</v>
      </c>
    </row>
    <row r="12">
      <c r="A12" t="inlineStr">
        <is>
          <t>Other Current Assets</t>
        </is>
      </c>
      <c r="B12" s="12" t="n">
        <v>2</v>
      </c>
      <c r="C12" s="12" t="n">
        <v>2.16</v>
      </c>
      <c r="D12" s="12" t="n">
        <v>2.3112</v>
      </c>
      <c r="E12" s="12" t="n">
        <v>2.449872</v>
      </c>
      <c r="F12" s="12" t="n">
        <v>2.572365600000001</v>
      </c>
      <c r="G12" s="12" t="n">
        <v>2.700983880000001</v>
      </c>
    </row>
    <row r="13">
      <c r="A13" t="inlineStr">
        <is>
          <t>Total Current Assets</t>
        </is>
      </c>
      <c r="B13" s="16" t="n">
        <v>24.19178082191781</v>
      </c>
      <c r="C13" s="16" t="n">
        <v>26.12712328767124</v>
      </c>
      <c r="D13" s="16" t="n">
        <v>27.95602191780822</v>
      </c>
      <c r="E13" s="16" t="n">
        <v>29.63338323287671</v>
      </c>
      <c r="F13" s="16" t="n">
        <v>31.11505239452056</v>
      </c>
      <c r="G13" s="16" t="n">
        <v>32.67080501424658</v>
      </c>
    </row>
    <row r="15">
      <c r="A15" s="9" t="inlineStr">
        <is>
          <t>Current Liabilities ($M)</t>
        </is>
      </c>
    </row>
    <row r="16">
      <c r="A16" t="inlineStr">
        <is>
          <t>Accounts Payable</t>
        </is>
      </c>
      <c r="B16" s="12" t="n">
        <v>4.931506849315069</v>
      </c>
      <c r="C16" s="12" t="n">
        <v>5.326027397260274</v>
      </c>
      <c r="D16" s="12" t="n">
        <v>5.698849315068493</v>
      </c>
      <c r="E16" s="12" t="n">
        <v>6.040780273972604</v>
      </c>
      <c r="F16" s="12" t="n">
        <v>6.342819287671235</v>
      </c>
      <c r="G16" s="12" t="n">
        <v>6.659960252054796</v>
      </c>
    </row>
    <row r="17">
      <c r="A17" t="inlineStr">
        <is>
          <t>Other Current Liabilities</t>
        </is>
      </c>
      <c r="B17" s="12" t="n">
        <v>3</v>
      </c>
      <c r="C17" s="12" t="n">
        <v>3.24</v>
      </c>
      <c r="D17" s="12" t="n">
        <v>3.4668</v>
      </c>
      <c r="E17" s="12" t="n">
        <v>3.674808000000001</v>
      </c>
      <c r="F17" s="12" t="n">
        <v>3.858548400000001</v>
      </c>
      <c r="G17" s="12" t="n">
        <v>4.05147582</v>
      </c>
    </row>
    <row r="18">
      <c r="A18" t="inlineStr">
        <is>
          <t>Total Current Liabilities</t>
        </is>
      </c>
      <c r="B18" s="16" t="n">
        <v>7.931506849315069</v>
      </c>
      <c r="C18" s="16" t="n">
        <v>8.566027397260275</v>
      </c>
      <c r="D18" s="16" t="n">
        <v>9.165649315068492</v>
      </c>
      <c r="E18" s="16" t="n">
        <v>9.715588273972603</v>
      </c>
      <c r="F18" s="16" t="n">
        <v>10.20136768767123</v>
      </c>
      <c r="G18" s="16" t="n">
        <v>10.7114360720548</v>
      </c>
    </row>
    <row r="20">
      <c r="A20" s="9" t="inlineStr">
        <is>
          <t>Net Working Capital ($M)</t>
        </is>
      </c>
    </row>
    <row r="21">
      <c r="A21" t="inlineStr">
        <is>
          <t>Net Working Capital</t>
        </is>
      </c>
      <c r="B21" s="16" t="n">
        <v>16.26027397260274</v>
      </c>
      <c r="C21" s="16" t="n">
        <v>17.56109589041096</v>
      </c>
      <c r="D21" s="16" t="n">
        <v>18.79037260273973</v>
      </c>
      <c r="E21" s="16" t="n">
        <v>19.91779495890411</v>
      </c>
      <c r="F21" s="16" t="n">
        <v>20.91368470684932</v>
      </c>
      <c r="G21" s="16" t="n">
        <v>21.95936894219179</v>
      </c>
    </row>
    <row r="22">
      <c r="A22" t="inlineStr">
        <is>
          <t>NWC % of Revenue</t>
        </is>
      </c>
      <c r="B22" s="6" t="n">
        <v>0.1626027397260274</v>
      </c>
      <c r="C22" s="6" t="n">
        <v>0.1626027397260274</v>
      </c>
      <c r="D22" s="6" t="n">
        <v>0.1626027397260274</v>
      </c>
      <c r="E22" s="6" t="n">
        <v>0.1626027397260274</v>
      </c>
      <c r="F22" s="6" t="n">
        <v>0.1626027397260274</v>
      </c>
      <c r="G22" s="6" t="n">
        <v>0.1626027397260274</v>
      </c>
    </row>
    <row r="23">
      <c r="A23" t="inlineStr">
        <is>
          <t>Change in NWC</t>
        </is>
      </c>
      <c r="B23" t="inlineStr">
        <is>
          <t>—</t>
        </is>
      </c>
      <c r="C23" s="12" t="n">
        <v>1.300821917808221</v>
      </c>
      <c r="D23" s="12" t="n">
        <v>1.229276712328765</v>
      </c>
      <c r="E23" s="12" t="n">
        <v>1.127422356164384</v>
      </c>
      <c r="F23" s="12" t="n">
        <v>0.9958897479452133</v>
      </c>
      <c r="G23" s="12" t="n">
        <v>1.045684235342463</v>
      </c>
    </row>
    <row r="25">
      <c r="A25" s="9" t="inlineStr">
        <is>
          <t>Cash Conversion Cycle</t>
        </is>
      </c>
    </row>
    <row r="26">
      <c r="A26" t="inlineStr">
        <is>
          <t>DSO (Days Sales Outstanding)</t>
        </is>
      </c>
      <c r="B26" t="n">
        <v>45</v>
      </c>
    </row>
    <row r="27">
      <c r="A27" t="inlineStr">
        <is>
          <t>DIO (Days Inventory Outstanding)</t>
        </is>
      </c>
      <c r="B27" t="n">
        <v>60</v>
      </c>
    </row>
    <row r="28">
      <c r="A28" t="inlineStr">
        <is>
          <t>DPO (Days Payable Outstanding)</t>
        </is>
      </c>
      <c r="B28" t="n">
        <v>30</v>
      </c>
    </row>
    <row r="29">
      <c r="A29" t="inlineStr">
        <is>
          <t>Cash Conversion Cycle</t>
        </is>
      </c>
      <c r="B29" s="19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Test Company - WACC Calculation</t>
        </is>
      </c>
    </row>
    <row r="3">
      <c r="A3" s="9" t="inlineStr">
        <is>
          <t>Cost of Equity (CAPM)</t>
        </is>
      </c>
    </row>
    <row r="4">
      <c r="A4" t="inlineStr">
        <is>
          <t>Risk-Free Rate (10Y Treasury)</t>
        </is>
      </c>
      <c r="B4" s="20" t="n">
        <v>0.04</v>
      </c>
    </row>
    <row r="5">
      <c r="A5" t="inlineStr">
        <is>
          <t>Equity Risk Premium</t>
        </is>
      </c>
      <c r="B5" s="20" t="n">
        <v>0.06</v>
      </c>
    </row>
    <row r="6">
      <c r="A6" t="inlineStr">
        <is>
          <t>Beta (Levered)</t>
        </is>
      </c>
      <c r="B6" s="21" t="n">
        <v>1</v>
      </c>
    </row>
    <row r="7">
      <c r="A7" t="inlineStr">
        <is>
          <t>Size Premium</t>
        </is>
      </c>
      <c r="B7" s="20" t="n">
        <v>0.02</v>
      </c>
    </row>
    <row r="9">
      <c r="A9" t="inlineStr">
        <is>
          <t>Cost of Equity</t>
        </is>
      </c>
      <c r="B9" s="8" t="n">
        <v>0.12</v>
      </c>
    </row>
    <row r="11">
      <c r="A11" s="9" t="inlineStr">
        <is>
          <t>Cost of Debt</t>
        </is>
      </c>
    </row>
    <row r="12">
      <c r="A12" t="inlineStr">
        <is>
          <t>Pre-Tax Cost of Debt</t>
        </is>
      </c>
      <c r="B12" s="11" t="n">
        <v>0.08</v>
      </c>
    </row>
    <row r="13">
      <c r="A13" t="inlineStr">
        <is>
          <t>Tax Rate</t>
        </is>
      </c>
      <c r="B13" s="11" t="n">
        <v>0.25</v>
      </c>
    </row>
    <row r="14">
      <c r="A14" t="inlineStr">
        <is>
          <t>After-Tax Cost of Debt</t>
        </is>
      </c>
      <c r="B14" s="8" t="n">
        <v>0.06</v>
      </c>
    </row>
    <row r="16">
      <c r="A16" s="9" t="inlineStr">
        <is>
          <t>Capital Structure</t>
        </is>
      </c>
    </row>
    <row r="17">
      <c r="A17" t="inlineStr">
        <is>
          <t>Target Debt / Equity</t>
        </is>
      </c>
      <c r="B17" s="11" t="n">
        <v>0.5</v>
      </c>
    </row>
    <row r="18">
      <c r="A18" t="inlineStr">
        <is>
          <t>Debt Weight</t>
        </is>
      </c>
      <c r="B18" s="6" t="n">
        <v>0.3333333333333333</v>
      </c>
    </row>
    <row r="19">
      <c r="A19" t="inlineStr">
        <is>
          <t>Equity Weight</t>
        </is>
      </c>
      <c r="B19" s="6" t="n">
        <v>0.6666666666666667</v>
      </c>
    </row>
    <row r="21">
      <c r="A21" s="9" t="inlineStr">
        <is>
          <t>WACC Calculation</t>
        </is>
      </c>
    </row>
    <row r="22">
      <c r="A22" t="inlineStr">
        <is>
          <t>WACC</t>
        </is>
      </c>
      <c r="B22" s="22" t="n">
        <v>0.1</v>
      </c>
    </row>
    <row r="24">
      <c r="A24" t="inlineStr">
        <is>
          <t>Formula: (E/V × Re) + (D/V × Rd × (1-T))</t>
        </is>
      </c>
    </row>
    <row r="25">
      <c r="A25">
        <f> (66.7% × 12.0%) + (33.3% × 6.0%)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Returns Analysis</t>
        </is>
      </c>
    </row>
    <row r="3">
      <c r="A3" s="9" t="inlineStr">
        <is>
          <t>Entry Assumptions</t>
        </is>
      </c>
    </row>
    <row r="4">
      <c r="A4" t="inlineStr">
        <is>
          <t>LTM EBITDA ($M)</t>
        </is>
      </c>
      <c r="B4" s="12" t="n">
        <v>20</v>
      </c>
    </row>
    <row r="5">
      <c r="A5" t="inlineStr">
        <is>
          <t>Entry Multiple</t>
        </is>
      </c>
      <c r="B5" t="inlineStr">
        <is>
          <t>8.0x</t>
        </is>
      </c>
    </row>
    <row r="6">
      <c r="A6" t="inlineStr">
        <is>
          <t>Enterprise Value ($M)</t>
        </is>
      </c>
      <c r="B6" s="12" t="n">
        <v>160</v>
      </c>
    </row>
    <row r="7">
      <c r="A7" t="inlineStr">
        <is>
          <t>Total Debt ($M)</t>
        </is>
      </c>
      <c r="B7" s="12" t="n">
        <v>110</v>
      </c>
    </row>
    <row r="8">
      <c r="A8" t="inlineStr">
        <is>
          <t>Equity Investment ($M)</t>
        </is>
      </c>
      <c r="B8" s="12" t="n">
        <v>56.40000000000001</v>
      </c>
    </row>
    <row r="10">
      <c r="A10" s="9" t="inlineStr">
        <is>
          <t>Exit Assumptions</t>
        </is>
      </c>
    </row>
    <row r="11">
      <c r="A11" t="inlineStr">
        <is>
          <t>Exit Multiple</t>
        </is>
      </c>
      <c r="B11" s="23" t="n">
        <v>8</v>
      </c>
    </row>
    <row r="12">
      <c r="A12" t="inlineStr">
        <is>
          <t>Hold Period (Years)</t>
        </is>
      </c>
      <c r="B12" s="5" t="n">
        <v>5</v>
      </c>
    </row>
    <row r="14">
      <c r="A14" s="9" t="inlineStr">
        <is>
          <t>Returns by Exit Year</t>
        </is>
      </c>
    </row>
    <row r="15">
      <c r="A15" s="4" t="inlineStr">
        <is>
          <t>Exit Year</t>
        </is>
      </c>
      <c r="B15" s="4" t="inlineStr">
        <is>
          <t>EBITDA</t>
        </is>
      </c>
      <c r="C15" s="4" t="inlineStr">
        <is>
          <t>Exit EV</t>
        </is>
      </c>
      <c r="D15" s="4" t="inlineStr">
        <is>
          <t>Net Debt</t>
        </is>
      </c>
      <c r="E15" s="4" t="inlineStr">
        <is>
          <t>Equity Value</t>
        </is>
      </c>
      <c r="F15" s="4" t="inlineStr">
        <is>
          <t>MOIC</t>
        </is>
      </c>
      <c r="G15" s="4" t="inlineStr">
        <is>
          <t>IRR</t>
        </is>
      </c>
    </row>
    <row r="16">
      <c r="A16" t="inlineStr">
        <is>
          <t>Year 3</t>
        </is>
      </c>
      <c r="B16" s="12" t="n">
        <v>26.948592</v>
      </c>
      <c r="C16" s="12" t="n">
        <v>215.588736</v>
      </c>
      <c r="D16" s="12" t="n">
        <v>77</v>
      </c>
      <c r="E16" s="12" t="n">
        <v>138.588736</v>
      </c>
      <c r="F16" s="24" t="n">
        <v>2.457247092198582</v>
      </c>
      <c r="G16" s="6" t="n">
        <v>0.3494276663455913</v>
      </c>
    </row>
    <row r="17">
      <c r="A17" t="inlineStr">
        <is>
          <t>Year 4</t>
        </is>
      </c>
      <c r="B17" s="12" t="n">
        <v>28.29602160000001</v>
      </c>
      <c r="C17" s="12" t="n">
        <v>226.3681728000001</v>
      </c>
      <c r="D17" s="12" t="n">
        <v>66</v>
      </c>
      <c r="E17" s="12" t="n">
        <v>160.3681728000001</v>
      </c>
      <c r="F17" s="24" t="n">
        <v>2.843407319148937</v>
      </c>
      <c r="G17" s="6" t="n">
        <v>0.2985532671262365</v>
      </c>
    </row>
    <row r="18">
      <c r="A18" s="25" t="inlineStr">
        <is>
          <t>Year 5</t>
        </is>
      </c>
      <c r="B18" s="26" t="n">
        <v>29.71082268000001</v>
      </c>
      <c r="C18" s="26" t="n">
        <v>237.6865814400001</v>
      </c>
      <c r="D18" s="26" t="n">
        <v>55</v>
      </c>
      <c r="E18" s="26" t="n">
        <v>182.6865814400001</v>
      </c>
      <c r="F18" s="27" t="n">
        <v>3.239123784397164</v>
      </c>
      <c r="G18" s="28" t="n">
        <v>0.2649853881750703</v>
      </c>
    </row>
    <row r="21">
      <c r="A21" s="9" t="inlineStr">
        <is>
          <t>Value Creation Bridge (Base Case)</t>
        </is>
      </c>
    </row>
    <row r="22">
      <c r="A22" t="inlineStr">
        <is>
          <t>Entry Equity</t>
        </is>
      </c>
      <c r="B22" s="12" t="n">
        <v>56.40000000000001</v>
      </c>
    </row>
    <row r="23">
      <c r="A23" t="inlineStr">
        <is>
          <t>(+) EBITDA Growth</t>
        </is>
      </c>
      <c r="B23" s="12" t="n">
        <v>77.68658144000005</v>
      </c>
      <c r="C23" t="inlineStr">
        <is>
          <t>62% of gain</t>
        </is>
      </c>
    </row>
    <row r="24">
      <c r="A24" t="inlineStr">
        <is>
          <t>(+) Multiple Expansion</t>
        </is>
      </c>
      <c r="B24" s="12" t="n">
        <v>0</v>
      </c>
      <c r="C24" t="inlineStr">
        <is>
          <t>Same entry/exit</t>
        </is>
      </c>
    </row>
    <row r="25">
      <c r="A25" t="inlineStr">
        <is>
          <t>(+) Debt Paydown</t>
        </is>
      </c>
      <c r="B25" s="12" t="n">
        <v>55</v>
      </c>
      <c r="C25" t="inlineStr">
        <is>
          <t>44% of gain</t>
        </is>
      </c>
    </row>
    <row r="26">
      <c r="A26" s="19" t="inlineStr">
        <is>
          <t>(=) Exit Equity</t>
        </is>
      </c>
      <c r="B26" s="13" t="n">
        <v>182.6865814400001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Test Company - Sensitivity Analysis</t>
        </is>
      </c>
    </row>
    <row r="3">
      <c r="A3" s="9" t="inlineStr">
        <is>
          <t>IRR Sensitivity: Entry Multiple vs Exit Multiple</t>
        </is>
      </c>
    </row>
    <row r="4">
      <c r="A4" s="4" t="inlineStr">
        <is>
          <t>Entry \ Exit</t>
        </is>
      </c>
      <c r="B4" s="4" t="inlineStr">
        <is>
          <t>7.0x</t>
        </is>
      </c>
      <c r="C4" s="4" t="inlineStr">
        <is>
          <t>7.5x</t>
        </is>
      </c>
      <c r="D4" s="4" t="inlineStr">
        <is>
          <t>8.0x</t>
        </is>
      </c>
      <c r="E4" s="4" t="inlineStr">
        <is>
          <t>8.5x</t>
        </is>
      </c>
      <c r="F4" s="4" t="inlineStr">
        <is>
          <t>9.0x</t>
        </is>
      </c>
    </row>
    <row r="5">
      <c r="A5" s="29" t="inlineStr">
        <is>
          <t>7.0x</t>
        </is>
      </c>
      <c r="B5" s="28" t="n">
        <v>0.3326136163067148</v>
      </c>
      <c r="C5" s="28" t="n">
        <v>0.357545041364387</v>
      </c>
      <c r="D5" s="28" t="n">
        <v>0.3807690796613583</v>
      </c>
      <c r="E5" s="28" t="n">
        <v>0.4025282232669232</v>
      </c>
      <c r="F5" s="28" t="n">
        <v>0.423015282377635</v>
      </c>
    </row>
    <row r="6">
      <c r="A6" s="29" t="inlineStr">
        <is>
          <t>7.5x</t>
        </is>
      </c>
      <c r="B6" s="28" t="n">
        <v>0.2694655714535084</v>
      </c>
      <c r="C6" s="28" t="n">
        <v>0.2932155807365471</v>
      </c>
      <c r="D6" s="28" t="n">
        <v>0.315339110533452</v>
      </c>
      <c r="E6" s="28" t="n">
        <v>0.3360671620358311</v>
      </c>
      <c r="F6" s="28" t="n">
        <v>0.3555834088181959</v>
      </c>
    </row>
    <row r="7">
      <c r="A7" s="29" t="inlineStr">
        <is>
          <t>8.0x</t>
        </is>
      </c>
      <c r="B7" s="30" t="n">
        <v>0.2208679767978079</v>
      </c>
      <c r="C7" s="30" t="n">
        <v>0.2437087898409795</v>
      </c>
      <c r="D7" s="28" t="n">
        <v>0.2649853881750703</v>
      </c>
      <c r="E7" s="28" t="n">
        <v>0.2849199298197842</v>
      </c>
      <c r="F7" s="28" t="n">
        <v>0.3036890569703465</v>
      </c>
    </row>
    <row r="8">
      <c r="A8" s="29" t="inlineStr">
        <is>
          <t>8.5x</t>
        </is>
      </c>
      <c r="B8" s="31" t="n">
        <v>0.1816555723576849</v>
      </c>
      <c r="C8" s="30" t="n">
        <v>0.2037627735641867</v>
      </c>
      <c r="D8" s="30" t="n">
        <v>0.2243560002357863</v>
      </c>
      <c r="E8" s="30" t="n">
        <v>0.2436502750177791</v>
      </c>
      <c r="F8" s="28" t="n">
        <v>0.2618165666293619</v>
      </c>
    </row>
    <row r="9">
      <c r="A9" s="29" t="inlineStr">
        <is>
          <t>9.0x</t>
        </is>
      </c>
      <c r="B9" s="32" t="n">
        <v>0.1489624923935187</v>
      </c>
      <c r="C9" s="31" t="n">
        <v>0.1704580496373165</v>
      </c>
      <c r="D9" s="31" t="n">
        <v>0.1904815197554464</v>
      </c>
      <c r="E9" s="30" t="n">
        <v>0.2092419763225091</v>
      </c>
      <c r="F9" s="30" t="n">
        <v>0.2269056578350044</v>
      </c>
    </row>
    <row r="12">
      <c r="A12" s="9" t="inlineStr">
        <is>
          <t>MOIC Sensitivity: Entry Multiple vs Exit Multiple</t>
        </is>
      </c>
    </row>
    <row r="13">
      <c r="A13" s="4" t="inlineStr">
        <is>
          <t>Entry \ Exit</t>
        </is>
      </c>
      <c r="B13" s="4" t="inlineStr">
        <is>
          <t>7.0x</t>
        </is>
      </c>
      <c r="C13" s="4" t="inlineStr">
        <is>
          <t>7.5x</t>
        </is>
      </c>
      <c r="D13" s="4" t="inlineStr">
        <is>
          <t>8.0x</t>
        </is>
      </c>
      <c r="E13" s="4" t="inlineStr">
        <is>
          <t>8.5x</t>
        </is>
      </c>
      <c r="F13" s="4" t="inlineStr">
        <is>
          <t>9.0x</t>
        </is>
      </c>
    </row>
    <row r="14">
      <c r="A14" s="29" t="inlineStr">
        <is>
          <t>7.0x</t>
        </is>
      </c>
      <c r="B14" s="27" t="n">
        <v>4.202630735164836</v>
      </c>
      <c r="C14" s="27" t="n">
        <v>4.610746431318683</v>
      </c>
      <c r="D14" s="27" t="n">
        <v>5.018862127472528</v>
      </c>
      <c r="E14" s="27" t="n">
        <v>5.426977823626374</v>
      </c>
      <c r="F14" s="27" t="n">
        <v>5.835093519780219</v>
      </c>
    </row>
    <row r="15">
      <c r="A15" s="29" t="inlineStr">
        <is>
          <t>7.5x</t>
        </is>
      </c>
      <c r="B15" s="27" t="n">
        <v>3.296891352586207</v>
      </c>
      <c r="C15" s="27" t="n">
        <v>3.61705107974138</v>
      </c>
      <c r="D15" s="27" t="n">
        <v>3.937210806896553</v>
      </c>
      <c r="E15" s="27" t="n">
        <v>4.257370534051724</v>
      </c>
      <c r="F15" s="27" t="n">
        <v>4.577530261206896</v>
      </c>
    </row>
    <row r="16">
      <c r="A16" s="29" t="inlineStr">
        <is>
          <t>8.0x</t>
        </is>
      </c>
      <c r="B16" s="33" t="n">
        <v>2.712336148226951</v>
      </c>
      <c r="C16" s="33" t="n">
        <v>2.975729966312058</v>
      </c>
      <c r="D16" s="27" t="n">
        <v>3.239123784397164</v>
      </c>
      <c r="E16" s="27" t="n">
        <v>3.50251760248227</v>
      </c>
      <c r="F16" s="27" t="n">
        <v>3.765911420567376</v>
      </c>
    </row>
    <row r="17">
      <c r="A17" s="29" t="inlineStr">
        <is>
          <t>8.5x</t>
        </is>
      </c>
      <c r="B17" s="34" t="n">
        <v>2.303851788554217</v>
      </c>
      <c r="C17" s="33" t="n">
        <v>2.527577862951808</v>
      </c>
      <c r="D17" s="33" t="n">
        <v>2.751303937349398</v>
      </c>
      <c r="E17" s="33" t="n">
        <v>2.975030011746989</v>
      </c>
      <c r="F17" s="27" t="n">
        <v>3.198756086144579</v>
      </c>
    </row>
    <row r="18">
      <c r="A18" s="29" t="inlineStr">
        <is>
          <t>9.0x</t>
        </is>
      </c>
      <c r="B18" s="34" t="n">
        <v>2.002300507329843</v>
      </c>
      <c r="C18" s="34" t="n">
        <v>2.196743064136126</v>
      </c>
      <c r="D18" s="34" t="n">
        <v>2.391185620942409</v>
      </c>
      <c r="E18" s="33" t="n">
        <v>2.585628177748692</v>
      </c>
      <c r="F18" s="33" t="n">
        <v>2.780070734554974</v>
      </c>
    </row>
    <row r="21">
      <c r="A21" t="inlineStr">
        <is>
          <t>Legend:</t>
        </is>
      </c>
    </row>
    <row r="22">
      <c r="A22" t="inlineStr">
        <is>
          <t>IRR ≥ 25%</t>
        </is>
      </c>
      <c r="B22" s="25" t="n"/>
    </row>
    <row r="23">
      <c r="A23" t="inlineStr">
        <is>
          <t>IRR 20-25%</t>
        </is>
      </c>
      <c r="B23" s="35" t="n"/>
    </row>
    <row r="24">
      <c r="A24" t="inlineStr">
        <is>
          <t>IRR 15-20%</t>
        </is>
      </c>
      <c r="B24" s="36" t="n"/>
    </row>
    <row r="25">
      <c r="A25" t="inlineStr">
        <is>
          <t>IRR &lt; 15%</t>
        </is>
      </c>
      <c r="B25" s="3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Test Company - Scenario Analysis</t>
        </is>
      </c>
    </row>
    <row r="3">
      <c r="A3" s="9" t="inlineStr">
        <is>
          <t>Scenario Assumptions</t>
        </is>
      </c>
    </row>
    <row r="4">
      <c r="A4" s="4" t="inlineStr">
        <is>
          <t>Assumption</t>
        </is>
      </c>
      <c r="B4" s="4" t="inlineStr">
        <is>
          <t>Bear Case</t>
        </is>
      </c>
      <c r="C4" s="4" t="inlineStr">
        <is>
          <t>Base Case</t>
        </is>
      </c>
      <c r="D4" s="4" t="inlineStr">
        <is>
          <t>Bull Case</t>
        </is>
      </c>
    </row>
    <row r="5">
      <c r="A5" t="inlineStr">
        <is>
          <t>Revenue Growth (Y1)</t>
        </is>
      </c>
      <c r="B5" s="11" t="n">
        <v>0.03</v>
      </c>
      <c r="C5" s="11" t="n">
        <v>0.08</v>
      </c>
      <c r="D5" s="11" t="n">
        <v>0.12</v>
      </c>
    </row>
    <row r="6">
      <c r="A6" t="inlineStr">
        <is>
          <t>Exit EBITDA Margin</t>
        </is>
      </c>
      <c r="B6" s="11" t="n">
        <v>0.18</v>
      </c>
      <c r="C6" s="11" t="n">
        <v>0.22</v>
      </c>
      <c r="D6" s="11" t="n">
        <v>0.26</v>
      </c>
    </row>
    <row r="7">
      <c r="A7" t="inlineStr">
        <is>
          <t>Exit Multiple</t>
        </is>
      </c>
      <c r="B7" s="23" t="n">
        <v>7</v>
      </c>
      <c r="C7" s="23" t="n">
        <v>8</v>
      </c>
      <c r="D7" s="23" t="n">
        <v>9</v>
      </c>
    </row>
    <row r="8">
      <c r="A8" t="inlineStr">
        <is>
          <t>Probability Weight</t>
        </is>
      </c>
      <c r="B8" s="38" t="n">
        <v>0.25</v>
      </c>
      <c r="C8" s="38" t="n">
        <v>0.5</v>
      </c>
      <c r="D8" s="38" t="n">
        <v>0.25</v>
      </c>
    </row>
    <row r="10">
      <c r="A10" s="9" t="inlineStr">
        <is>
          <t>Scenario Outputs ($M)</t>
        </is>
      </c>
    </row>
    <row r="11">
      <c r="A11" s="4" t="inlineStr">
        <is>
          <t>Metric</t>
        </is>
      </c>
      <c r="B11" s="4" t="inlineStr">
        <is>
          <t>Bear Case</t>
        </is>
      </c>
      <c r="C11" s="4" t="inlineStr">
        <is>
          <t>Base Case</t>
        </is>
      </c>
      <c r="D11" s="4" t="inlineStr">
        <is>
          <t>Bull Case</t>
        </is>
      </c>
    </row>
    <row r="12">
      <c r="A12" t="inlineStr">
        <is>
          <t>Exit Revenue</t>
        </is>
      </c>
      <c r="B12" s="12" t="n">
        <v>111.49051248</v>
      </c>
      <c r="C12" s="12" t="n">
        <v>135.049194</v>
      </c>
      <c r="D12" s="12" t="n">
        <v>155.1832128000001</v>
      </c>
    </row>
    <row r="13">
      <c r="A13" t="inlineStr">
        <is>
          <t>Exit EBITDA</t>
        </is>
      </c>
      <c r="B13" s="12" t="n">
        <v>20.0682922464</v>
      </c>
      <c r="C13" s="12" t="n">
        <v>29.71082268000001</v>
      </c>
      <c r="D13" s="12" t="n">
        <v>40.34763532800002</v>
      </c>
    </row>
    <row r="14">
      <c r="A14" t="inlineStr">
        <is>
          <t>Exit EV</t>
        </is>
      </c>
      <c r="B14" s="12" t="n">
        <v>140.4780457248</v>
      </c>
      <c r="C14" s="12" t="n">
        <v>237.6865814400001</v>
      </c>
      <c r="D14" s="12" t="n">
        <v>363.1287179520002</v>
      </c>
    </row>
    <row r="15">
      <c r="A15" t="inlineStr">
        <is>
          <t>Exit Equity Value</t>
        </is>
      </c>
      <c r="B15" s="12" t="n">
        <v>85.47804572480001</v>
      </c>
      <c r="C15" s="12" t="n">
        <v>182.6865814400001</v>
      </c>
      <c r="D15" s="12" t="n">
        <v>308.1287179520002</v>
      </c>
    </row>
    <row r="16">
      <c r="A16" t="inlineStr">
        <is>
          <t>MOIC</t>
        </is>
      </c>
      <c r="B16" s="24" t="n">
        <v>1.515568186609929</v>
      </c>
      <c r="C16" s="24" t="n">
        <v>3.239123784397164</v>
      </c>
      <c r="D16" s="24" t="n">
        <v>5.46327514099291</v>
      </c>
    </row>
    <row r="17">
      <c r="A17" s="19" t="inlineStr">
        <is>
          <t>IRR</t>
        </is>
      </c>
      <c r="B17" s="39" t="n">
        <v>0.08671358467915269</v>
      </c>
      <c r="C17" s="39" t="n">
        <v>0.2649853881750703</v>
      </c>
      <c r="D17" s="39" t="n">
        <v>0.4043993332008979</v>
      </c>
    </row>
    <row r="18">
      <c r="A18" s="19" t="n"/>
      <c r="B18" s="19" t="n"/>
      <c r="C18" s="19" t="n"/>
      <c r="D18" s="19" t="n"/>
    </row>
    <row r="20">
      <c r="A20" s="9" t="inlineStr">
        <is>
          <t>Probability-Weighted Returns</t>
        </is>
      </c>
    </row>
    <row r="21">
      <c r="A21" t="inlineStr">
        <is>
          <t>Expected MOIC</t>
        </is>
      </c>
      <c r="B21" s="40" t="n">
        <v>3.364272724099292</v>
      </c>
    </row>
    <row r="22">
      <c r="A22" t="inlineStr">
        <is>
          <t>Expected IRR</t>
        </is>
      </c>
      <c r="B22" s="22" t="n">
        <v>0.2552709235575478</v>
      </c>
    </row>
    <row r="24">
      <c r="A24" s="9" t="inlineStr">
        <is>
          <t>Downside Protection</t>
        </is>
      </c>
    </row>
    <row r="25">
      <c r="A25" t="inlineStr">
        <is>
          <t>Bear Case MOIC</t>
        </is>
      </c>
      <c r="B25" s="24" t="n">
        <v>1.515568186609929</v>
      </c>
    </row>
    <row r="26">
      <c r="A26" t="inlineStr">
        <is>
          <t>Capital Protected?</t>
        </is>
      </c>
      <c r="B26" s="25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Test Company - Management vs Buyer Case</t>
        </is>
      </c>
    </row>
    <row r="3">
      <c r="A3" s="4" t="inlineStr"/>
      <c r="B3" s="4" t="inlineStr">
        <is>
          <t>LTM</t>
        </is>
      </c>
      <c r="C3" s="4" t="inlineStr">
        <is>
          <t>Year 1</t>
        </is>
      </c>
      <c r="D3" s="4" t="inlineStr">
        <is>
          <t>Year 2</t>
        </is>
      </c>
      <c r="E3" s="4" t="inlineStr">
        <is>
          <t>Year 3</t>
        </is>
      </c>
      <c r="F3" s="4" t="inlineStr">
        <is>
          <t>Year 4</t>
        </is>
      </c>
      <c r="G3" s="4" t="inlineStr">
        <is>
          <t>Year 5</t>
        </is>
      </c>
    </row>
    <row r="4">
      <c r="A4" s="9" t="inlineStr">
        <is>
          <t>MANAGEMENT CASE</t>
        </is>
      </c>
    </row>
    <row r="5">
      <c r="A5" t="inlineStr">
        <is>
          <t>Revenue</t>
        </is>
      </c>
      <c r="B5" s="12" t="n">
        <v>100</v>
      </c>
      <c r="C5" s="12" t="n">
        <v>112</v>
      </c>
      <c r="D5" s="12" t="n">
        <v>123.2</v>
      </c>
      <c r="E5" s="12" t="n">
        <v>134.288</v>
      </c>
      <c r="F5" s="12" t="n">
        <v>145.03104</v>
      </c>
      <c r="G5" s="12" t="n">
        <v>155.1832128000001</v>
      </c>
    </row>
    <row r="6">
      <c r="A6" t="inlineStr">
        <is>
          <t xml:space="preserve">  % Growth</t>
        </is>
      </c>
      <c r="B6" t="inlineStr">
        <is>
          <t>—</t>
        </is>
      </c>
      <c r="C6" s="15" t="n">
        <v>0.12</v>
      </c>
      <c r="D6" s="15" t="n">
        <v>0.1</v>
      </c>
      <c r="E6" s="15" t="n">
        <v>0.09</v>
      </c>
      <c r="F6" s="15" t="n">
        <v>0.08</v>
      </c>
      <c r="G6" s="15" t="n">
        <v>0.07000000000000001</v>
      </c>
    </row>
    <row r="7">
      <c r="A7" t="inlineStr">
        <is>
          <t>EBITDA</t>
        </is>
      </c>
      <c r="B7" s="16" t="n">
        <v>20</v>
      </c>
      <c r="C7" s="16" t="n">
        <v>24.64</v>
      </c>
      <c r="D7" s="16" t="n">
        <v>29.568</v>
      </c>
      <c r="E7" s="16" t="n">
        <v>33.57200000000001</v>
      </c>
      <c r="F7" s="16" t="n">
        <v>37.70807040000001</v>
      </c>
      <c r="G7" s="16" t="n">
        <v>41.89946745600002</v>
      </c>
    </row>
    <row r="8">
      <c r="A8" t="inlineStr">
        <is>
          <t xml:space="preserve">  % Margin</t>
        </is>
      </c>
      <c r="B8" s="6" t="n">
        <v>0.2</v>
      </c>
      <c r="C8" s="15" t="n">
        <v>0.22</v>
      </c>
      <c r="D8" s="15" t="n">
        <v>0.24</v>
      </c>
      <c r="E8" s="15" t="n">
        <v>0.25</v>
      </c>
      <c r="F8" s="15" t="n">
        <v>0.26</v>
      </c>
      <c r="G8" s="15" t="n">
        <v>0.27</v>
      </c>
    </row>
    <row r="10">
      <c r="A10" s="9" t="inlineStr">
        <is>
          <t>BUYER CASE (HAIRCUT)</t>
        </is>
      </c>
    </row>
    <row r="11">
      <c r="A11" t="inlineStr">
        <is>
          <t>Revenue</t>
        </is>
      </c>
      <c r="B11" s="12" t="n">
        <v>100</v>
      </c>
      <c r="C11" s="12" t="n">
        <v>108</v>
      </c>
      <c r="D11" s="12" t="n">
        <v>115.56</v>
      </c>
      <c r="E11" s="12" t="n">
        <v>122.4936</v>
      </c>
      <c r="F11" s="12" t="n">
        <v>128.61828</v>
      </c>
      <c r="G11" s="12" t="n">
        <v>135.049194</v>
      </c>
    </row>
    <row r="12">
      <c r="A12" t="inlineStr">
        <is>
          <t xml:space="preserve">  % Growth</t>
        </is>
      </c>
      <c r="B12" t="inlineStr">
        <is>
          <t>—</t>
        </is>
      </c>
      <c r="C12" s="15" t="n">
        <v>0.08</v>
      </c>
      <c r="D12" s="15" t="n">
        <v>0.07000000000000001</v>
      </c>
      <c r="E12" s="15" t="n">
        <v>0.06</v>
      </c>
      <c r="F12" s="15" t="n">
        <v>0.05</v>
      </c>
      <c r="G12" s="15" t="n">
        <v>0.05</v>
      </c>
    </row>
    <row r="13">
      <c r="A13" t="inlineStr">
        <is>
          <t>EBITDA</t>
        </is>
      </c>
      <c r="B13" s="16" t="n">
        <v>20</v>
      </c>
      <c r="C13" s="16" t="n">
        <v>21.6</v>
      </c>
      <c r="D13" s="16" t="n">
        <v>24.2676</v>
      </c>
      <c r="E13" s="16" t="n">
        <v>26.948592</v>
      </c>
      <c r="F13" s="16" t="n">
        <v>28.29602160000001</v>
      </c>
      <c r="G13" s="16" t="n">
        <v>29.71082268000001</v>
      </c>
    </row>
    <row r="14">
      <c r="A14" t="inlineStr">
        <is>
          <t xml:space="preserve">  % Margin</t>
        </is>
      </c>
      <c r="B14" s="6" t="n">
        <v>0.2</v>
      </c>
      <c r="C14" s="15" t="n">
        <v>0.2</v>
      </c>
      <c r="D14" s="15" t="n">
        <v>0.21</v>
      </c>
      <c r="E14" s="15" t="n">
        <v>0.22</v>
      </c>
      <c r="F14" s="15" t="n">
        <v>0.22</v>
      </c>
      <c r="G14" s="15" t="n">
        <v>0.22</v>
      </c>
    </row>
    <row r="16">
      <c r="A16" s="9" t="inlineStr">
        <is>
          <t>VARIANCE ANALYSIS</t>
        </is>
      </c>
    </row>
    <row r="17">
      <c r="A17" t="inlineStr">
        <is>
          <t>Revenue Variance</t>
        </is>
      </c>
      <c r="B17" s="12" t="n">
        <v>0</v>
      </c>
      <c r="C17" s="41" t="n">
        <v>-4.000000000000014</v>
      </c>
      <c r="D17" s="41" t="n">
        <v>-7.640000000000029</v>
      </c>
      <c r="E17" s="41" t="n">
        <v>-11.79440000000002</v>
      </c>
      <c r="F17" s="41" t="n">
        <v>-16.41276000000002</v>
      </c>
      <c r="G17" s="41" t="n">
        <v>-20.13401880000004</v>
      </c>
    </row>
    <row r="18">
      <c r="A18" t="inlineStr">
        <is>
          <t xml:space="preserve">  % Variance</t>
        </is>
      </c>
      <c r="B18" s="6" t="n">
        <v>0</v>
      </c>
      <c r="C18" s="42" t="n">
        <v>-0.03571428571428584</v>
      </c>
      <c r="D18" s="42" t="n">
        <v>-0.06201298701298723</v>
      </c>
      <c r="E18" s="42" t="n">
        <v>-0.08782914333373065</v>
      </c>
      <c r="F18" s="42" t="n">
        <v>-0.1131672226855714</v>
      </c>
      <c r="G18" s="42" t="n">
        <v>-0.1297435362802337</v>
      </c>
    </row>
    <row r="20">
      <c r="A20" t="inlineStr">
        <is>
          <t>EBITDA Variance</t>
        </is>
      </c>
      <c r="B20" s="12" t="n">
        <v>0</v>
      </c>
      <c r="C20" s="41" t="n">
        <v>-3.040000000000003</v>
      </c>
      <c r="D20" s="41" t="n">
        <v>-5.300400000000007</v>
      </c>
      <c r="E20" s="41" t="n">
        <v>-6.623408000000005</v>
      </c>
      <c r="F20" s="41" t="n">
        <v>-9.412048800000004</v>
      </c>
      <c r="G20" s="41" t="n">
        <v>-12.18864477600001</v>
      </c>
    </row>
    <row r="21">
      <c r="A21" t="inlineStr">
        <is>
          <t xml:space="preserve">  % Variance</t>
        </is>
      </c>
      <c r="B21" s="6" t="n">
        <v>0</v>
      </c>
      <c r="C21" s="42" t="n">
        <v>-0.1233766233766235</v>
      </c>
      <c r="D21" s="42" t="n">
        <v>-0.1792613636363638</v>
      </c>
      <c r="E21" s="42" t="n">
        <v>-0.1972896461336829</v>
      </c>
      <c r="F21" s="42" t="n">
        <v>-0.2496030345800988</v>
      </c>
      <c r="G21" s="42" t="n">
        <v>-0.290902140672783</v>
      </c>
    </row>
    <row r="23">
      <c r="A23" s="9" t="inlineStr">
        <is>
          <t>RETURNS COMPARISON (Year 5 Exit)</t>
        </is>
      </c>
    </row>
    <row r="24">
      <c r="A24" s="4" t="inlineStr"/>
      <c r="B24" s="4" t="inlineStr">
        <is>
          <t>Management</t>
        </is>
      </c>
      <c r="C24" s="4" t="inlineStr">
        <is>
          <t>Buyer</t>
        </is>
      </c>
      <c r="D24" s="4" t="inlineStr">
        <is>
          <t>Difference</t>
        </is>
      </c>
    </row>
    <row r="25">
      <c r="A25" t="inlineStr">
        <is>
          <t>Exit EBITDA</t>
        </is>
      </c>
      <c r="B25" s="12" t="n">
        <v>41.89946745600002</v>
      </c>
      <c r="C25" s="26" t="n">
        <v>29.71082268000001</v>
      </c>
      <c r="D25" s="12" t="n">
        <v>-12.18864477600001</v>
      </c>
    </row>
    <row r="26">
      <c r="A26" t="inlineStr">
        <is>
          <t>Exit Equity</t>
        </is>
      </c>
      <c r="B26" s="12" t="n">
        <v>280.1957396480001</v>
      </c>
      <c r="C26" s="26" t="n">
        <v>182.6865814400001</v>
      </c>
      <c r="D26" s="12" t="n">
        <v>-97.50915820800009</v>
      </c>
    </row>
    <row r="27">
      <c r="A27" t="inlineStr">
        <is>
          <t>MOIC</t>
        </is>
      </c>
      <c r="B27" s="43" t="n">
        <v>4.968009568226952</v>
      </c>
      <c r="C27" s="44" t="n">
        <v>3.239123784397164</v>
      </c>
      <c r="D27" s="43" t="n">
        <v>-1.728885783829788</v>
      </c>
    </row>
    <row r="28">
      <c r="A28" t="inlineStr">
        <is>
          <t>IRR</t>
        </is>
      </c>
      <c r="B28" s="39" t="n">
        <v>0.3779595997388154</v>
      </c>
      <c r="C28" s="45" t="n">
        <v>0.2649853881750703</v>
      </c>
      <c r="D28" s="39" t="n">
        <v>-0.1129742115637451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DCF Valuation</t>
        </is>
      </c>
    </row>
    <row r="3">
      <c r="A3" s="9" t="inlineStr">
        <is>
          <t>DCF Assumptions</t>
        </is>
      </c>
    </row>
    <row r="4">
      <c r="A4" t="inlineStr">
        <is>
          <t>WACC</t>
        </is>
      </c>
      <c r="B4" s="11" t="n">
        <v>0.1</v>
      </c>
    </row>
    <row r="5">
      <c r="A5" t="inlineStr">
        <is>
          <t>Terminal Growth Rate</t>
        </is>
      </c>
      <c r="B5" s="11" t="n">
        <v>0.025</v>
      </c>
    </row>
    <row r="6">
      <c r="A6" t="inlineStr">
        <is>
          <t>Tax Rate</t>
        </is>
      </c>
      <c r="B6" s="11" t="n">
        <v>0.25</v>
      </c>
    </row>
    <row r="8">
      <c r="A8" s="4" t="inlineStr"/>
      <c r="B8" s="4" t="inlineStr">
        <is>
          <t>Year 1</t>
        </is>
      </c>
      <c r="C8" s="4" t="inlineStr">
        <is>
          <t>Year 2</t>
        </is>
      </c>
      <c r="D8" s="4" t="inlineStr">
        <is>
          <t>Year 3</t>
        </is>
      </c>
      <c r="E8" s="4" t="inlineStr">
        <is>
          <t>Year 4</t>
        </is>
      </c>
      <c r="F8" s="4" t="inlineStr">
        <is>
          <t>Year 5</t>
        </is>
      </c>
      <c r="G8" s="4" t="inlineStr">
        <is>
          <t>Terminal</t>
        </is>
      </c>
    </row>
    <row r="9">
      <c r="A9" s="9" t="inlineStr">
        <is>
          <t>Unlevered Free Cash Flow ($M)</t>
        </is>
      </c>
    </row>
    <row r="10">
      <c r="A10" t="inlineStr">
        <is>
          <t>EBITDA</t>
        </is>
      </c>
      <c r="B10" s="12" t="n">
        <v>21.6</v>
      </c>
      <c r="C10" s="12" t="n">
        <v>24.2676</v>
      </c>
      <c r="D10" s="12" t="n">
        <v>26.948592</v>
      </c>
      <c r="E10" s="12" t="n">
        <v>28.29602160000001</v>
      </c>
      <c r="F10" s="12" t="n">
        <v>29.71082268000001</v>
      </c>
    </row>
    <row r="11">
      <c r="A11" t="inlineStr">
        <is>
          <t>Less: D&amp;A</t>
        </is>
      </c>
      <c r="B11" s="17" t="n">
        <v>-5.4</v>
      </c>
      <c r="C11" s="17" t="n">
        <v>-5.778</v>
      </c>
      <c r="D11" s="17" t="n">
        <v>-6.124680000000001</v>
      </c>
      <c r="E11" s="17" t="n">
        <v>-6.430914000000001</v>
      </c>
      <c r="F11" s="17" t="n">
        <v>-6.752459700000002</v>
      </c>
    </row>
    <row r="12">
      <c r="A12" t="inlineStr">
        <is>
          <t>EBIT</t>
        </is>
      </c>
      <c r="B12" s="12" t="n">
        <v>16.2</v>
      </c>
      <c r="C12" s="12" t="n">
        <v>18.4896</v>
      </c>
      <c r="D12" s="12" t="n">
        <v>20.823912</v>
      </c>
      <c r="E12" s="12" t="n">
        <v>21.86510760000001</v>
      </c>
      <c r="F12" s="12" t="n">
        <v>22.95836298</v>
      </c>
    </row>
    <row r="13">
      <c r="A13" t="inlineStr">
        <is>
          <t>Less: Taxes</t>
        </is>
      </c>
      <c r="B13" s="17" t="n">
        <v>-4.050000000000001</v>
      </c>
      <c r="C13" s="17" t="n">
        <v>-4.622399999999999</v>
      </c>
      <c r="D13" s="17" t="n">
        <v>-5.205978000000001</v>
      </c>
      <c r="E13" s="17" t="n">
        <v>-5.466276900000001</v>
      </c>
      <c r="F13" s="17" t="n">
        <v>-5.739590745000001</v>
      </c>
    </row>
    <row r="14">
      <c r="A14" t="inlineStr">
        <is>
          <t>NOPAT</t>
        </is>
      </c>
      <c r="B14" s="12" t="n">
        <v>12.15</v>
      </c>
      <c r="C14" s="12" t="n">
        <v>13.8672</v>
      </c>
      <c r="D14" s="12" t="n">
        <v>15.617934</v>
      </c>
      <c r="E14" s="12" t="n">
        <v>16.3988307</v>
      </c>
      <c r="F14" s="12" t="n">
        <v>17.218772235</v>
      </c>
    </row>
    <row r="15">
      <c r="A15" t="inlineStr">
        <is>
          <t>Plus: D&amp;A</t>
        </is>
      </c>
      <c r="B15" s="12" t="n">
        <v>5.4</v>
      </c>
      <c r="C15" s="12" t="n">
        <v>5.778</v>
      </c>
      <c r="D15" s="12" t="n">
        <v>6.124680000000001</v>
      </c>
      <c r="E15" s="12" t="n">
        <v>6.430914000000001</v>
      </c>
      <c r="F15" s="12" t="n">
        <v>6.752459700000002</v>
      </c>
    </row>
    <row r="16">
      <c r="A16" t="inlineStr">
        <is>
          <t>Less: CapEx</t>
        </is>
      </c>
      <c r="B16" s="17" t="n">
        <v>-5.4</v>
      </c>
      <c r="C16" s="17" t="n">
        <v>-5.778</v>
      </c>
      <c r="D16" s="17" t="n">
        <v>-6.124680000000001</v>
      </c>
      <c r="E16" s="17" t="n">
        <v>-6.430914000000001</v>
      </c>
      <c r="F16" s="17" t="n">
        <v>-6.752459700000002</v>
      </c>
    </row>
    <row r="17">
      <c r="A17" t="inlineStr">
        <is>
          <t>Less: Change in NWC</t>
        </is>
      </c>
      <c r="B17" s="17" t="n">
        <v>-0.8000000000000007</v>
      </c>
      <c r="C17" s="17" t="n">
        <v>-0.7560000000000002</v>
      </c>
      <c r="D17" s="17" t="n">
        <v>-0.693360000000002</v>
      </c>
      <c r="E17" s="17" t="n">
        <v>-0.6124679999999998</v>
      </c>
      <c r="F17" s="17" t="n">
        <v>-0.6430914000000012</v>
      </c>
    </row>
    <row r="18">
      <c r="A18" t="inlineStr">
        <is>
          <t>Unlevered FCF</t>
        </is>
      </c>
      <c r="B18" s="13" t="n">
        <v>11.35</v>
      </c>
      <c r="C18" s="13" t="n">
        <v>13.1112</v>
      </c>
      <c r="D18" s="13" t="n">
        <v>14.924574</v>
      </c>
      <c r="E18" s="13" t="n">
        <v>15.78636270000001</v>
      </c>
      <c r="F18" s="13" t="n">
        <v>16.575680835</v>
      </c>
      <c r="G18" s="16" t="n">
        <v>226.534304745</v>
      </c>
    </row>
    <row r="20">
      <c r="A20" s="9" t="inlineStr">
        <is>
          <t>Present Value Calculation</t>
        </is>
      </c>
    </row>
    <row r="21">
      <c r="A21" t="inlineStr">
        <is>
          <t>Discount Factor</t>
        </is>
      </c>
      <c r="B21" s="46" t="n">
        <v>0.9090909090909091</v>
      </c>
      <c r="C21" s="46" t="n">
        <v>0.8264462809917354</v>
      </c>
      <c r="D21" s="46" t="n">
        <v>0.7513148009015775</v>
      </c>
      <c r="E21" s="46" t="n">
        <v>0.6830134553650705</v>
      </c>
      <c r="F21" s="46" t="n">
        <v>0.6209213230591549</v>
      </c>
      <c r="G21" s="46" t="n">
        <v>0.6209213230591549</v>
      </c>
    </row>
    <row r="22">
      <c r="A22" t="inlineStr">
        <is>
          <t>Present Value</t>
        </is>
      </c>
      <c r="B22" s="12" t="n">
        <v>10.31818181818182</v>
      </c>
      <c r="C22" s="12" t="n">
        <v>10.83570247933884</v>
      </c>
      <c r="D22" s="12" t="n">
        <v>11.21305334335086</v>
      </c>
      <c r="E22" s="12" t="n">
        <v>10.78229813537327</v>
      </c>
      <c r="F22" s="12" t="n">
        <v>10.29219367467448</v>
      </c>
      <c r="G22" s="12" t="n">
        <v>140.6599802205512</v>
      </c>
    </row>
    <row r="24">
      <c r="A24" s="9" t="inlineStr">
        <is>
          <t>Valuation Summary ($M)</t>
        </is>
      </c>
    </row>
    <row r="25">
      <c r="A25" t="inlineStr">
        <is>
          <t>PV of Projection Period FCF</t>
        </is>
      </c>
      <c r="B25" s="12" t="n">
        <v>53.44142945091926</v>
      </c>
    </row>
    <row r="26">
      <c r="A26" t="inlineStr">
        <is>
          <t>PV of Terminal Value</t>
        </is>
      </c>
      <c r="B26" s="12" t="n">
        <v>140.6599802205512</v>
      </c>
    </row>
    <row r="27">
      <c r="A27" t="inlineStr">
        <is>
          <t>Enterprise Value</t>
        </is>
      </c>
      <c r="B27" s="47" t="n">
        <v>194.1014096714704</v>
      </c>
    </row>
    <row r="29">
      <c r="A29" t="inlineStr">
        <is>
          <t>Implied EV / LTM EBITDA</t>
        </is>
      </c>
      <c r="B29" s="18" t="n">
        <v>9.705070483573522</v>
      </c>
    </row>
    <row r="30">
      <c r="A30" t="inlineStr">
        <is>
          <t>Implied EV / Exit EBITDA</t>
        </is>
      </c>
      <c r="B30" s="18" t="n">
        <v>6.533020366417884</v>
      </c>
    </row>
    <row r="31">
      <c r="A31" t="inlineStr">
        <is>
          <t>Terminal Value % of EV</t>
        </is>
      </c>
      <c r="B31" s="6" t="n">
        <v>0.7246726361164897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Test Company - Covenant Analysis</t>
        </is>
      </c>
    </row>
    <row r="3">
      <c r="A3" s="9" t="inlineStr">
        <is>
          <t>Covenant Thresholds</t>
        </is>
      </c>
    </row>
    <row r="4">
      <c r="A4" t="inlineStr">
        <is>
          <t>Maximum Leverage (Debt/EBITDA)</t>
        </is>
      </c>
      <c r="B4" s="23" t="n">
        <v>6</v>
      </c>
    </row>
    <row r="5">
      <c r="A5" t="inlineStr">
        <is>
          <t>Minimum Interest Coverage</t>
        </is>
      </c>
      <c r="B5" s="23" t="n">
        <v>2</v>
      </c>
    </row>
    <row r="6">
      <c r="A6" t="inlineStr">
        <is>
          <t>Minimum Fixed Charge Coverage</t>
        </is>
      </c>
      <c r="B6" s="23" t="n">
        <v>1.1</v>
      </c>
    </row>
    <row r="8">
      <c r="A8" s="4" t="inlineStr"/>
      <c r="B8" s="4" t="inlineStr">
        <is>
          <t>Entry</t>
        </is>
      </c>
      <c r="C8" s="4" t="inlineStr">
        <is>
          <t>Year 1</t>
        </is>
      </c>
      <c r="D8" s="4" t="inlineStr">
        <is>
          <t>Year 2</t>
        </is>
      </c>
      <c r="E8" s="4" t="inlineStr">
        <is>
          <t>Year 3</t>
        </is>
      </c>
      <c r="F8" s="4" t="inlineStr">
        <is>
          <t>Year 4</t>
        </is>
      </c>
      <c r="G8" s="4" t="inlineStr">
        <is>
          <t>Year 5</t>
        </is>
      </c>
    </row>
    <row r="9">
      <c r="A9" s="9" t="inlineStr">
        <is>
          <t>Leverage Ratio (Debt / EBITDA)</t>
        </is>
      </c>
    </row>
    <row r="10">
      <c r="A10" t="inlineStr">
        <is>
          <t>Total Debt</t>
        </is>
      </c>
      <c r="B10" s="12" t="n">
        <v>110</v>
      </c>
      <c r="C10" s="12" t="n">
        <v>99</v>
      </c>
      <c r="D10" s="12" t="n">
        <v>88</v>
      </c>
      <c r="E10" s="12" t="n">
        <v>77</v>
      </c>
      <c r="F10" s="12" t="n">
        <v>66</v>
      </c>
      <c r="G10" s="12" t="n">
        <v>55</v>
      </c>
    </row>
    <row r="11">
      <c r="A11" t="inlineStr">
        <is>
          <t>EBITDA</t>
        </is>
      </c>
      <c r="B11" s="12" t="n">
        <v>20</v>
      </c>
      <c r="C11" s="12" t="n">
        <v>21.6</v>
      </c>
      <c r="D11" s="12" t="n">
        <v>24.2676</v>
      </c>
      <c r="E11" s="12" t="n">
        <v>26.948592</v>
      </c>
      <c r="F11" s="12" t="n">
        <v>28.29602160000001</v>
      </c>
      <c r="G11" s="12" t="n">
        <v>29.71082268000001</v>
      </c>
    </row>
    <row r="12">
      <c r="A12" t="inlineStr">
        <is>
          <t>Leverage Ratio</t>
        </is>
      </c>
      <c r="B12" s="48" t="n">
        <v>5.5</v>
      </c>
      <c r="C12" s="48" t="n">
        <v>4.583333333333333</v>
      </c>
      <c r="D12" s="48" t="n">
        <v>3.626234155829172</v>
      </c>
      <c r="E12" s="48" t="n">
        <v>2.857292136078946</v>
      </c>
      <c r="F12" s="48" t="n">
        <v>2.332483376390976</v>
      </c>
      <c r="G12" s="48" t="n">
        <v>1.851177282849981</v>
      </c>
    </row>
    <row r="13">
      <c r="A13" t="inlineStr">
        <is>
          <t>Covenant</t>
        </is>
      </c>
      <c r="B13" s="49" t="n">
        <v>6</v>
      </c>
      <c r="C13" s="49" t="n">
        <v>6</v>
      </c>
      <c r="D13" s="49" t="n">
        <v>6</v>
      </c>
      <c r="E13" s="49" t="n">
        <v>6</v>
      </c>
      <c r="F13" s="49" t="n">
        <v>6</v>
      </c>
      <c r="G13" s="49" t="n">
        <v>6</v>
      </c>
    </row>
    <row r="14">
      <c r="A14" t="inlineStr">
        <is>
          <t>Headroom</t>
        </is>
      </c>
      <c r="B14" s="18" t="n">
        <v>0.5</v>
      </c>
      <c r="C14" s="18" t="n">
        <v>1.416666666666667</v>
      </c>
      <c r="D14" s="18" t="n">
        <v>2.373765844170828</v>
      </c>
      <c r="E14" s="18" t="n">
        <v>3.142707863921054</v>
      </c>
      <c r="F14" s="18" t="n">
        <v>3.667516623609024</v>
      </c>
      <c r="G14" s="18" t="n">
        <v>4.148822717150019</v>
      </c>
    </row>
    <row r="16">
      <c r="A16" s="9" t="inlineStr">
        <is>
          <t>Interest Coverage (EBITDA / Interest)</t>
        </is>
      </c>
    </row>
    <row r="17">
      <c r="A17" t="inlineStr">
        <is>
          <t>EBITDA</t>
        </is>
      </c>
      <c r="C17" s="12" t="n">
        <v>21.6</v>
      </c>
      <c r="D17" s="12" t="n">
        <v>24.2676</v>
      </c>
      <c r="E17" s="12" t="n">
        <v>26.948592</v>
      </c>
      <c r="F17" s="12" t="n">
        <v>28.29602160000001</v>
      </c>
      <c r="G17" s="12" t="n">
        <v>29.71082268000001</v>
      </c>
    </row>
    <row r="18">
      <c r="A18" t="inlineStr">
        <is>
          <t>Interest Expense</t>
        </is>
      </c>
      <c r="C18" s="12" t="n">
        <v>9.5</v>
      </c>
      <c r="D18" s="12" t="n">
        <v>8.5</v>
      </c>
      <c r="E18" s="12" t="n">
        <v>7.5</v>
      </c>
      <c r="F18" s="12" t="n">
        <v>6.5</v>
      </c>
      <c r="G18" s="12" t="n">
        <v>5.5</v>
      </c>
    </row>
    <row r="19">
      <c r="A19" t="inlineStr">
        <is>
          <t>Interest Coverage</t>
        </is>
      </c>
      <c r="C19" s="48" t="n">
        <v>2.273684210526316</v>
      </c>
      <c r="D19" s="48" t="n">
        <v>2.855011764705882</v>
      </c>
      <c r="E19" s="48" t="n">
        <v>3.593145600000001</v>
      </c>
      <c r="F19" s="48" t="n">
        <v>4.353234092307694</v>
      </c>
      <c r="G19" s="48" t="n">
        <v>5.401967760000002</v>
      </c>
    </row>
    <row r="20">
      <c r="A20" t="inlineStr">
        <is>
          <t>Covenant</t>
        </is>
      </c>
      <c r="C20" s="49" t="n">
        <v>2</v>
      </c>
      <c r="D20" s="49" t="n">
        <v>2</v>
      </c>
      <c r="E20" s="49" t="n">
        <v>2</v>
      </c>
      <c r="F20" s="49" t="n">
        <v>2</v>
      </c>
      <c r="G20" s="49" t="n">
        <v>2</v>
      </c>
    </row>
    <row r="22">
      <c r="A22" s="9" t="inlineStr">
        <is>
          <t>Compliance Summary</t>
        </is>
      </c>
    </row>
    <row r="23">
      <c r="A23" t="inlineStr">
        <is>
          <t>Overall Compliance</t>
        </is>
      </c>
      <c r="B23" s="5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2026-02-04T22:15:57Z</dcterms:created>
  <dcterms:modified xmlns:dcterms="http://purl.org/dc/terms/" xmlns:xsi="http://www.w3.org/2001/XMLSchema-instance" xsi:type="dcterms:W3CDTF">2026-02-04T22:15:57Z</dcterms:modified>
</cp:coreProperties>
</file>