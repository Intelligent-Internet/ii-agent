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edent_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&quot;x&quot;"/>
  </numFmts>
  <fonts count="5">
    <font>
      <name val="Calibri"/>
      <family val="2"/>
      <color theme="1"/>
      <sz val="11"/>
      <scheme val="minor"/>
    </font>
    <font>
      <b val="1"/>
      <color rgb="0001395D"/>
      <sz val="14"/>
    </font>
    <font>
      <i val="1"/>
      <color rgb="00666666"/>
      <sz val="10"/>
    </font>
    <font>
      <b val="1"/>
      <color rgb="00FFFFFF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01395D"/>
        <bgColor rgb="0001395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8" customWidth="1" min="1" max="1"/>
    <col width="37" customWidth="1" min="2" max="2"/>
    <col width="8" customWidth="1" min="3" max="3"/>
    <col width="11" customWidth="1" min="4" max="4"/>
    <col width="17" customWidth="1" min="5" max="5"/>
    <col width="11" customWidth="1" min="6" max="6"/>
    <col width="9" customWidth="1" min="7" max="7"/>
    <col width="9" customWidth="1" min="8" max="8"/>
    <col width="12" customWidth="1" min="9" max="9"/>
    <col width="10" customWidth="1" min="10" max="10"/>
    <col width="8" customWidth="1" min="11" max="11"/>
    <col width="26" customWidth="1" min="12" max="12"/>
  </cols>
  <sheetData>
    <row r="1"/>
    <row r="2">
      <c r="B2" s="1" t="inlineStr">
        <is>
          <t>Precedent Transaction Analysis</t>
        </is>
      </c>
    </row>
    <row r="3">
      <c r="B3" s="2" t="inlineStr">
        <is>
          <t>Selected M&amp;A Transactions in Sector</t>
        </is>
      </c>
    </row>
    <row r="4"/>
    <row r="5">
      <c r="B5" s="3" t="inlineStr">
        <is>
          <t>#</t>
        </is>
      </c>
      <c r="C5" s="3" t="inlineStr">
        <is>
          <t>Date</t>
        </is>
      </c>
      <c r="D5" s="3" t="inlineStr">
        <is>
          <t>Target</t>
        </is>
      </c>
      <c r="E5" s="3" t="inlineStr">
        <is>
          <t>Acquirer</t>
        </is>
      </c>
      <c r="F5" s="3" t="inlineStr">
        <is>
          <t>Deal Type</t>
        </is>
      </c>
      <c r="G5" s="3" t="inlineStr">
        <is>
          <t>EV ($M)</t>
        </is>
      </c>
      <c r="H5" s="3" t="inlineStr">
        <is>
          <t>LTM Rev</t>
        </is>
      </c>
      <c r="I5" s="3" t="inlineStr">
        <is>
          <t>LTM EBITDA</t>
        </is>
      </c>
      <c r="J5" s="3" t="inlineStr">
        <is>
          <t>EBITDA %</t>
        </is>
      </c>
      <c r="K5" s="3" t="inlineStr">
        <is>
          <t>EV/Rev</t>
        </is>
      </c>
      <c r="L5" s="3" t="inlineStr">
        <is>
          <t>EV/EBITDA</t>
        </is>
      </c>
    </row>
    <row r="6">
      <c r="B6" s="4" t="n">
        <v>1</v>
      </c>
      <c r="C6" s="4" t="inlineStr">
        <is>
          <t>Oct-24</t>
        </is>
      </c>
      <c r="D6" s="4" t="inlineStr">
        <is>
          <t>Company A</t>
        </is>
      </c>
      <c r="E6" s="4" t="inlineStr">
        <is>
          <t>Strategic Buyer</t>
        </is>
      </c>
      <c r="F6" s="4" t="inlineStr">
        <is>
          <t>Strategic</t>
        </is>
      </c>
      <c r="G6" s="5" t="n">
        <v>500</v>
      </c>
      <c r="H6" s="5" t="n">
        <v>380</v>
      </c>
      <c r="I6" s="5" t="n">
        <v>50</v>
      </c>
      <c r="J6" s="6" t="n">
        <v>0.132</v>
      </c>
      <c r="K6" s="7" t="n">
        <v>1.32</v>
      </c>
      <c r="L6" s="7" t="n">
        <v>10</v>
      </c>
    </row>
    <row r="7">
      <c r="B7" s="4" t="n">
        <v>2</v>
      </c>
      <c r="C7" s="4" t="inlineStr">
        <is>
          <t>Jun-24</t>
        </is>
      </c>
      <c r="D7" s="4" t="inlineStr">
        <is>
          <t>Company B</t>
        </is>
      </c>
      <c r="E7" s="4" t="inlineStr">
        <is>
          <t>PE Sponsor</t>
        </is>
      </c>
      <c r="F7" s="4" t="inlineStr">
        <is>
          <t>LBO</t>
        </is>
      </c>
      <c r="G7" s="5" t="n">
        <v>425</v>
      </c>
      <c r="H7" s="5" t="n">
        <v>340</v>
      </c>
      <c r="I7" s="5" t="n">
        <v>42</v>
      </c>
      <c r="J7" s="6" t="n">
        <v>0.124</v>
      </c>
      <c r="K7" s="7" t="n">
        <v>1.25</v>
      </c>
      <c r="L7" s="7" t="n">
        <v>10.1</v>
      </c>
    </row>
    <row r="8">
      <c r="B8" s="4" t="n">
        <v>3</v>
      </c>
      <c r="C8" s="4" t="inlineStr">
        <is>
          <t>Mar-24</t>
        </is>
      </c>
      <c r="D8" s="4" t="inlineStr">
        <is>
          <t>Company C</t>
        </is>
      </c>
      <c r="E8" s="4" t="inlineStr">
        <is>
          <t>Strategic Buyer</t>
        </is>
      </c>
      <c r="F8" s="4" t="inlineStr">
        <is>
          <t>Strategic</t>
        </is>
      </c>
      <c r="G8" s="5" t="n">
        <v>240</v>
      </c>
      <c r="H8" s="5" t="n">
        <v>180</v>
      </c>
      <c r="I8" s="5" t="n">
        <v>25</v>
      </c>
      <c r="J8" s="6" t="n">
        <v>0.139</v>
      </c>
      <c r="K8" s="7" t="n">
        <v>1.33</v>
      </c>
      <c r="L8" s="7" t="n">
        <v>9.6</v>
      </c>
    </row>
    <row r="9">
      <c r="B9" s="4" t="n">
        <v>4</v>
      </c>
      <c r="C9" s="4" t="inlineStr">
        <is>
          <t>Aug-23</t>
        </is>
      </c>
      <c r="D9" s="4" t="inlineStr">
        <is>
          <t>Company D</t>
        </is>
      </c>
      <c r="E9" s="4" t="inlineStr">
        <is>
          <t>PE Sponsor</t>
        </is>
      </c>
      <c r="F9" s="4" t="inlineStr">
        <is>
          <t>LBO</t>
        </is>
      </c>
      <c r="G9" s="5" t="n">
        <v>340</v>
      </c>
      <c r="H9" s="5" t="n">
        <v>280</v>
      </c>
      <c r="I9" s="5" t="n">
        <v>30</v>
      </c>
      <c r="J9" s="6" t="n">
        <v>0.107</v>
      </c>
      <c r="K9" s="7" t="n">
        <v>1.21</v>
      </c>
      <c r="L9" s="7" t="n">
        <v>11.3</v>
      </c>
    </row>
    <row r="10">
      <c r="B10" s="4" t="n">
        <v>5</v>
      </c>
      <c r="C10" s="4" t="inlineStr">
        <is>
          <t>Dec-22</t>
        </is>
      </c>
      <c r="D10" s="4" t="inlineStr">
        <is>
          <t>Company E</t>
        </is>
      </c>
      <c r="E10" s="4" t="inlineStr">
        <is>
          <t>PE Sponsor</t>
        </is>
      </c>
      <c r="F10" s="4" t="inlineStr">
        <is>
          <t>LBO</t>
        </is>
      </c>
      <c r="G10" s="5" t="n">
        <v>485</v>
      </c>
      <c r="H10" s="5" t="n">
        <v>400</v>
      </c>
      <c r="I10" s="5" t="n">
        <v>55</v>
      </c>
      <c r="J10" s="6" t="n">
        <v>0.138</v>
      </c>
      <c r="K10" s="7" t="n">
        <v>1.21</v>
      </c>
      <c r="L10" s="7" t="n">
        <v>8.800000000000001</v>
      </c>
    </row>
    <row r="11"/>
    <row r="12">
      <c r="B12" s="8" t="inlineStr">
        <is>
          <t>Mean</t>
        </is>
      </c>
      <c r="L12" s="9">
        <f>AVERAGE(L6:L10)</f>
        <v/>
      </c>
    </row>
    <row r="13">
      <c r="B13" s="8" t="inlineStr">
        <is>
          <t>Median</t>
        </is>
      </c>
      <c r="L13" s="9">
        <f>MEDIAN(L6:L10)</f>
        <v/>
      </c>
    </row>
    <row r="14">
      <c r="B14" s="8" t="inlineStr">
        <is>
          <t>25th Percentile</t>
        </is>
      </c>
      <c r="L14" s="9">
        <f>PERCENTILE(L6:L10,0.25)</f>
        <v/>
      </c>
    </row>
    <row r="15">
      <c r="B15" s="8" t="inlineStr">
        <is>
          <t>75th Percentile</t>
        </is>
      </c>
      <c r="L15" s="9">
        <f>PERCENTILE(L6:L10,0.75)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2026-02-05T03:28:41Z</dcterms:created>
  <dcterms:modified xmlns:dcterms="http://purl.org/dc/terms/" xmlns:xsi="http://www.w3.org/2001/XMLSchema-instance" xsi:type="dcterms:W3CDTF">2026-02-05T03:28:41Z</dcterms:modified>
</cp:coreProperties>
</file>