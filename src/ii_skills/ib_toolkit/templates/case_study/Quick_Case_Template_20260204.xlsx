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L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x"/>
    <numFmt numFmtId="166" formatCode="0.0%"/>
    <numFmt numFmtId="167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1E3A5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4" fontId="0" fillId="4" borderId="0" pivotButton="0" quotePrefix="0" xfId="0"/>
    <xf numFmtId="0" fontId="7" fillId="0" borderId="0" pivotButton="0" quotePrefix="0" xfId="0"/>
    <xf numFmtId="167" fontId="7" fillId="0" borderId="0" pivotButton="0" quotePrefix="0" xfId="0"/>
    <xf numFmtId="166" fontId="7" fillId="0" borderId="0" pivotButton="0" quotePrefix="0" xfId="0"/>
    <xf numFmtId="165" fontId="5" fillId="3" borderId="0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QUICK LBO CASE MODEL</t>
        </is>
      </c>
    </row>
    <row r="2">
      <c r="A2" s="2" t="inlineStr">
        <is>
          <t xml:space="preserve">Company: </t>
        </is>
      </c>
      <c r="B2" s="3" t="inlineStr">
        <is>
          <t>[Enter Company Name]</t>
        </is>
      </c>
      <c r="C2" s="4" t="n"/>
      <c r="D2" s="5" t="n"/>
    </row>
    <row r="4">
      <c r="A4" s="6" t="inlineStr">
        <is>
          <t>1. TRANSACTION INPUTS</t>
        </is>
      </c>
    </row>
    <row r="5">
      <c r="A5" s="7" t="inlineStr">
        <is>
          <t>Input</t>
        </is>
      </c>
      <c r="B5" s="7" t="inlineStr">
        <is>
          <t>Value</t>
        </is>
      </c>
      <c r="C5" s="7" t="inlineStr">
        <is>
          <t>Unit</t>
        </is>
      </c>
    </row>
    <row r="6">
      <c r="A6" s="2" t="inlineStr">
        <is>
          <t>LTM Revenue</t>
        </is>
      </c>
      <c r="B6" s="8" t="n">
        <v>500</v>
      </c>
      <c r="C6" s="2" t="inlineStr">
        <is>
          <t>$M</t>
        </is>
      </c>
    </row>
    <row r="7">
      <c r="A7" s="2" t="inlineStr">
        <is>
          <t>LTM EBITDA</t>
        </is>
      </c>
      <c r="B7" s="8" t="n">
        <v>75</v>
      </c>
      <c r="C7" s="2" t="inlineStr">
        <is>
          <t>$M</t>
        </is>
      </c>
    </row>
    <row r="8">
      <c r="A8" s="2" t="inlineStr">
        <is>
          <t>Entry Multiple</t>
        </is>
      </c>
      <c r="B8" s="9" t="n">
        <v>8</v>
      </c>
      <c r="C8" s="2" t="inlineStr">
        <is>
          <t>x EBITDA</t>
        </is>
      </c>
    </row>
    <row r="9">
      <c r="A9" s="2" t="inlineStr">
        <is>
          <t>Total Leverage</t>
        </is>
      </c>
      <c r="B9" s="9" t="n">
        <v>5</v>
      </c>
      <c r="C9" s="2" t="inlineStr">
        <is>
          <t>x EBITDA</t>
        </is>
      </c>
    </row>
    <row r="10">
      <c r="A10" s="2" t="inlineStr">
        <is>
          <t>Senior Debt Rate</t>
        </is>
      </c>
      <c r="B10" s="10" t="n">
        <v>0.07000000000000001</v>
      </c>
      <c r="C10" s="2" t="inlineStr">
        <is>
          <t>%</t>
        </is>
      </c>
    </row>
    <row r="11">
      <c r="A11" s="2" t="inlineStr">
        <is>
          <t>Revenue Growth (Y1-5)</t>
        </is>
      </c>
      <c r="B11" s="10" t="n">
        <v>0.06</v>
      </c>
      <c r="C11" s="2" t="inlineStr">
        <is>
          <t>% avg</t>
        </is>
      </c>
    </row>
    <row r="12">
      <c r="A12" s="2" t="inlineStr">
        <is>
          <t>EBITDA Margin (Exit)</t>
        </is>
      </c>
      <c r="B12" s="10" t="n">
        <v>0.18</v>
      </c>
      <c r="C12" s="2" t="inlineStr">
        <is>
          <t>%</t>
        </is>
      </c>
    </row>
    <row r="13">
      <c r="A13" s="2" t="inlineStr">
        <is>
          <t>Exit Multiple</t>
        </is>
      </c>
      <c r="B13" s="9" t="n">
        <v>8</v>
      </c>
      <c r="C13" s="2" t="inlineStr">
        <is>
          <t>x EBITDA</t>
        </is>
      </c>
    </row>
    <row r="14">
      <c r="A14" s="2" t="inlineStr">
        <is>
          <t>Hold Period</t>
        </is>
      </c>
      <c r="B14" s="8" t="n">
        <v>5</v>
      </c>
      <c r="C14" s="2" t="inlineStr">
        <is>
          <t>years</t>
        </is>
      </c>
    </row>
    <row r="15">
      <c r="A15" s="2" t="inlineStr">
        <is>
          <t>Tax Rate</t>
        </is>
      </c>
      <c r="B15" s="10" t="n">
        <v>0.25</v>
      </c>
      <c r="C15" s="2" t="inlineStr">
        <is>
          <t>%</t>
        </is>
      </c>
    </row>
    <row r="17">
      <c r="A17" s="6" t="inlineStr">
        <is>
          <t>2. SOURCES &amp; USES</t>
        </is>
      </c>
    </row>
    <row r="18">
      <c r="A18" s="7" t="inlineStr">
        <is>
          <t>Sources</t>
        </is>
      </c>
      <c r="B18" s="7" t="inlineStr">
        <is>
          <t>$M</t>
        </is>
      </c>
      <c r="C18" s="7" t="inlineStr">
        <is>
          <t>%</t>
        </is>
      </c>
      <c r="E18" s="7" t="inlineStr">
        <is>
          <t>Uses</t>
        </is>
      </c>
      <c r="F18" s="7" t="inlineStr">
        <is>
          <t>$M</t>
        </is>
      </c>
      <c r="G18" s="7" t="inlineStr">
        <is>
          <t>%</t>
        </is>
      </c>
    </row>
    <row r="19">
      <c r="A19" s="2" t="inlineStr">
        <is>
          <t>Senior Debt</t>
        </is>
      </c>
      <c r="B19" s="11">
        <f>B7*B9*0.7</f>
        <v/>
      </c>
      <c r="C19" s="12">
        <f>B19/$B$22</f>
        <v/>
      </c>
      <c r="E19" s="2" t="inlineStr">
        <is>
          <t>Enterprise Value</t>
        </is>
      </c>
      <c r="F19" s="11">
        <f>B7*B8</f>
        <v/>
      </c>
      <c r="G19" s="12">
        <f>F19/$F$22</f>
        <v/>
      </c>
    </row>
    <row r="20">
      <c r="A20" s="2" t="inlineStr">
        <is>
          <t>Sub Debt</t>
        </is>
      </c>
      <c r="B20" s="11">
        <f>B7*B9*0.3</f>
        <v/>
      </c>
      <c r="C20" s="12">
        <f>B20/$B$22</f>
        <v/>
      </c>
      <c r="E20" s="2" t="inlineStr">
        <is>
          <t>Fees (2%)</t>
        </is>
      </c>
      <c r="F20" s="11">
        <f>F19*0.02</f>
        <v/>
      </c>
      <c r="G20" s="12">
        <f>F20/$F$22</f>
        <v/>
      </c>
    </row>
    <row r="21">
      <c r="A21" s="2" t="inlineStr">
        <is>
          <t>Sponsor Equity</t>
        </is>
      </c>
      <c r="B21" s="11">
        <f>B22-B19-B20</f>
        <v/>
      </c>
      <c r="C21" s="12">
        <f>B21/$B$22</f>
        <v/>
      </c>
      <c r="E21" s="2" t="inlineStr">
        <is>
          <t>Cash to BS</t>
        </is>
      </c>
      <c r="F21" s="8" t="n">
        <v>10</v>
      </c>
      <c r="G21" s="12">
        <f>F21/$F$22</f>
        <v/>
      </c>
    </row>
    <row r="22">
      <c r="A22" s="13" t="inlineStr">
        <is>
          <t>Total Sources</t>
        </is>
      </c>
      <c r="B22" s="14">
        <f>SUM(B19:B21)</f>
        <v/>
      </c>
      <c r="E22" s="13" t="inlineStr">
        <is>
          <t>Total Uses</t>
        </is>
      </c>
      <c r="F22" s="14">
        <f>SUM(F19:F21)</f>
        <v/>
      </c>
      <c r="H22" t="inlineStr">
        <is>
          <t>Check:</t>
        </is>
      </c>
      <c r="I22" s="11">
        <f>B22-F22</f>
        <v/>
      </c>
    </row>
    <row r="24">
      <c r="A24" s="6" t="inlineStr">
        <is>
          <t>3. OPERATING PROJECTIONS</t>
        </is>
      </c>
    </row>
    <row r="25">
      <c r="A25" s="7" t="inlineStr"/>
      <c r="B25" s="7" t="inlineStr">
        <is>
          <t>LTM</t>
        </is>
      </c>
      <c r="C25" s="7" t="inlineStr">
        <is>
          <t>Y1</t>
        </is>
      </c>
      <c r="D25" s="7" t="inlineStr">
        <is>
          <t>Y2</t>
        </is>
      </c>
      <c r="E25" s="7" t="inlineStr">
        <is>
          <t>Y3</t>
        </is>
      </c>
      <c r="F25" s="7" t="inlineStr">
        <is>
          <t>Y4</t>
        </is>
      </c>
      <c r="G25" s="7" t="inlineStr">
        <is>
          <t>Y5</t>
        </is>
      </c>
    </row>
    <row r="26">
      <c r="A26" s="2" t="inlineStr">
        <is>
          <t>Revenue</t>
        </is>
      </c>
      <c r="B26" s="11">
        <f>B6</f>
        <v/>
      </c>
      <c r="C26" s="11">
        <f>B26*(1+B11)</f>
        <v/>
      </c>
      <c r="D26" s="11">
        <f>C26*(1+B11)</f>
        <v/>
      </c>
      <c r="E26" s="11">
        <f>D26*(1+B11)</f>
        <v/>
      </c>
      <c r="F26" s="11">
        <f>E26*(1+B11)</f>
        <v/>
      </c>
      <c r="G26" s="11">
        <f>F26*(1+B11)</f>
        <v/>
      </c>
    </row>
    <row r="27">
      <c r="A27" s="2" t="inlineStr">
        <is>
          <t>EBITDA</t>
        </is>
      </c>
      <c r="B27" s="11">
        <f>B7</f>
        <v/>
      </c>
      <c r="C27" s="11">
        <f>C26*((B7/B6)+(B12-B7/B6)*1/5)</f>
        <v/>
      </c>
      <c r="D27" s="11">
        <f>D26*((B7/B6)+(B12-B7/B6)*2/5)</f>
        <v/>
      </c>
      <c r="E27" s="11">
        <f>E26*((B7/B6)+(B12-B7/B6)*3/5)</f>
        <v/>
      </c>
      <c r="F27" s="11">
        <f>F26*((B7/B6)+(B12-B7/B6)*4/5)</f>
        <v/>
      </c>
      <c r="G27" s="11">
        <f>G26*((B7/B6)+(B12-B7/B6)*5/5)</f>
        <v/>
      </c>
    </row>
    <row r="28">
      <c r="A28" s="2" t="inlineStr">
        <is>
          <t>% Margin</t>
        </is>
      </c>
      <c r="B28" s="12">
        <f>B27/B26</f>
        <v/>
      </c>
      <c r="C28" s="12">
        <f>C27/C26</f>
        <v/>
      </c>
      <c r="D28" s="12">
        <f>D27/D26</f>
        <v/>
      </c>
      <c r="E28" s="12">
        <f>E27/E26</f>
        <v/>
      </c>
      <c r="F28" s="12">
        <f>F27/F26</f>
        <v/>
      </c>
      <c r="G28" s="12">
        <f>G27/G26</f>
        <v/>
      </c>
    </row>
    <row r="29">
      <c r="A29" s="2" t="inlineStr">
        <is>
          <t>D&amp;A</t>
        </is>
      </c>
      <c r="B29" s="11">
        <f>B26*0.03</f>
        <v/>
      </c>
      <c r="C29" s="11">
        <f>C26*0.03</f>
        <v/>
      </c>
      <c r="D29" s="11">
        <f>D26*0.03</f>
        <v/>
      </c>
      <c r="E29" s="11">
        <f>E26*0.03</f>
        <v/>
      </c>
      <c r="F29" s="11">
        <f>F26*0.03</f>
        <v/>
      </c>
      <c r="G29" s="11">
        <f>G26*0.03</f>
        <v/>
      </c>
    </row>
    <row r="30">
      <c r="A30" s="2" t="inlineStr">
        <is>
          <t>CapEx</t>
        </is>
      </c>
      <c r="B30" s="11">
        <f>-B26*0.04</f>
        <v/>
      </c>
      <c r="C30" s="11">
        <f>-C26*0.04</f>
        <v/>
      </c>
      <c r="D30" s="11">
        <f>-D26*0.04</f>
        <v/>
      </c>
      <c r="E30" s="11">
        <f>-E26*0.04</f>
        <v/>
      </c>
      <c r="F30" s="11">
        <f>-F26*0.04</f>
        <v/>
      </c>
      <c r="G30" s="11">
        <f>-G26*0.04</f>
        <v/>
      </c>
    </row>
    <row r="31">
      <c r="A31" s="2" t="inlineStr">
        <is>
          <t>Δ NWC</t>
        </is>
      </c>
      <c r="B31" t="inlineStr"/>
      <c r="C31" s="11">
        <f>-(C26-B26)*0.10</f>
        <v/>
      </c>
      <c r="D31" s="11">
        <f>-(D26-C26)*0.10</f>
        <v/>
      </c>
      <c r="E31" s="11">
        <f>-(E26-D26)*0.10</f>
        <v/>
      </c>
      <c r="F31" s="11">
        <f>-(F26-E26)*0.10</f>
        <v/>
      </c>
      <c r="G31" s="11">
        <f>-(G26-F26)*0.10</f>
        <v/>
      </c>
    </row>
    <row r="32">
      <c r="A32" s="13" t="inlineStr">
        <is>
          <t>Unlevered FCF</t>
        </is>
      </c>
      <c r="B32" s="14">
        <f>B27*(1-B15)+B29+B30+B31</f>
        <v/>
      </c>
      <c r="C32" s="14">
        <f>C27*(1-B15)+C29+C30+C31</f>
        <v/>
      </c>
      <c r="D32" s="14">
        <f>D27*(1-B15)+D29+D30+D31</f>
        <v/>
      </c>
      <c r="E32" s="14">
        <f>E27*(1-B15)+E29+E30+E31</f>
        <v/>
      </c>
      <c r="F32" s="14">
        <f>F27*(1-B15)+F29+F30+F31</f>
        <v/>
      </c>
      <c r="G32" s="14">
        <f>G27*(1-B15)+G29+G30+G31</f>
        <v/>
      </c>
    </row>
    <row r="34">
      <c r="A34" s="6" t="inlineStr">
        <is>
          <t>4. RETURNS ANALYSIS</t>
        </is>
      </c>
    </row>
    <row r="35">
      <c r="A35" s="2" t="inlineStr">
        <is>
          <t>Exit EBITDA (Y5)</t>
        </is>
      </c>
      <c r="B35" s="11">
        <f>G27</f>
        <v/>
      </c>
    </row>
    <row r="36">
      <c r="A36" s="2" t="inlineStr">
        <is>
          <t>Exit EV</t>
        </is>
      </c>
      <c r="B36" s="11">
        <f>B35*B13</f>
        <v/>
      </c>
    </row>
    <row r="37">
      <c r="A37" s="2" t="inlineStr">
        <is>
          <t>Exit Debt (est.)</t>
        </is>
      </c>
      <c r="B37" s="11">
        <f>(B19+B20)*0.5</f>
        <v/>
      </c>
    </row>
    <row r="38">
      <c r="A38" s="13" t="inlineStr">
        <is>
          <t>Exit Equity</t>
        </is>
      </c>
      <c r="B38" s="14">
        <f>B36-B37</f>
        <v/>
      </c>
    </row>
    <row r="40">
      <c r="A40" s="2" t="inlineStr">
        <is>
          <t>Entry Equity</t>
        </is>
      </c>
      <c r="B40" s="11">
        <f>B21</f>
        <v/>
      </c>
    </row>
    <row r="41">
      <c r="A41" s="15" t="inlineStr">
        <is>
          <t>MOIC</t>
        </is>
      </c>
      <c r="B41" s="16">
        <f>B38/B40</f>
        <v/>
      </c>
    </row>
    <row r="42">
      <c r="A42" s="15" t="inlineStr">
        <is>
          <t>IRR</t>
        </is>
      </c>
      <c r="B42" s="17">
        <f>(B38/B40)^(1/B14)-1</f>
        <v/>
      </c>
    </row>
    <row r="44">
      <c r="A44" s="6" t="inlineStr">
        <is>
          <t>5. EXIT MULTIPLE SENSITIVITY</t>
        </is>
      </c>
    </row>
    <row r="45">
      <c r="A45" s="7" t="inlineStr">
        <is>
          <t>Exit Mult</t>
        </is>
      </c>
      <c r="B45" s="18" t="n">
        <v>6</v>
      </c>
      <c r="C45" s="18" t="n">
        <v>7</v>
      </c>
      <c r="D45" s="18" t="n">
        <v>8</v>
      </c>
      <c r="E45" s="18" t="n">
        <v>9</v>
      </c>
      <c r="F45" s="18" t="n">
        <v>10</v>
      </c>
    </row>
    <row r="46">
      <c r="A46" s="2" t="inlineStr">
        <is>
          <t>MOIC</t>
        </is>
      </c>
      <c r="B46" s="19">
        <f>(B35*6.0-B37)/B40</f>
        <v/>
      </c>
      <c r="C46" s="19">
        <f>(B35*7.0-B37)/B40</f>
        <v/>
      </c>
      <c r="D46" s="19">
        <f>(B35*8.0-B37)/B40</f>
        <v/>
      </c>
      <c r="E46" s="19">
        <f>(B35*9.0-B37)/B40</f>
        <v/>
      </c>
      <c r="F46" s="19">
        <f>(B35*10.0-B37)/B40</f>
        <v/>
      </c>
    </row>
    <row r="47">
      <c r="A47" s="2" t="inlineStr">
        <is>
          <t>IRR</t>
        </is>
      </c>
      <c r="B47" s="12">
        <f>(B46)^(1/B14)-1</f>
        <v/>
      </c>
      <c r="C47" s="12">
        <f>(C46)^(1/B14)-1</f>
        <v/>
      </c>
      <c r="D47" s="12">
        <f>(D46)^(1/B14)-1</f>
        <v/>
      </c>
      <c r="E47" s="12">
        <f>(E46)^(1/B14)-1</f>
        <v/>
      </c>
      <c r="F47" s="12">
        <f>(F46)^(1/B14)-1</f>
        <v/>
      </c>
    </row>
  </sheetData>
  <mergeCells count="2">
    <mergeCell ref="B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2026-02-04T21:26:01Z</dcterms:created>
  <dcterms:modified xmlns:dcterms="http://purl.org/dc/terms/" xmlns:xsi="http://www.w3.org/2001/XMLSchema-instance" xsi:type="dcterms:W3CDTF">2026-02-04T21:26:01Z</dcterms:modified>
</cp:coreProperties>
</file>